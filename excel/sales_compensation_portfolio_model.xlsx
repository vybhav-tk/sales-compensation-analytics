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cc136755b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3d0e4bee6204bd2"/>
    <x:sheet xmlns:r="http://schemas.openxmlformats.org/officeDocument/2006/relationships" name="01_Model_Guide" sheetId="2" r:id="Rc520dd39738544af"/>
    <x:sheet xmlns:r="http://schemas.openxmlformats.org/officeDocument/2006/relationships" name="02_Rules" sheetId="3" r:id="Rc374c90acda54360"/>
    <x:sheet xmlns:r="http://schemas.openxmlformats.org/officeDocument/2006/relationships" name="03_Quota_Coverage" sheetId="4" r:id="Rfe45126b337945c1"/>
    <x:sheet xmlns:r="http://schemas.openxmlformats.org/officeDocument/2006/relationships" name="04_Sales_Credit" sheetId="5" r:id="R049ecefeea344f0f"/>
    <x:sheet xmlns:r="http://schemas.openxmlformats.org/officeDocument/2006/relationships" name="05_Perf_Comm" sheetId="6" r:id="R0aa0233f956149a5"/>
    <x:sheet xmlns:r="http://schemas.openxmlformats.org/officeDocument/2006/relationships" name="06_SPIFF" sheetId="7" r:id="R32e139b08ae643d2"/>
    <x:sheet xmlns:r="http://schemas.openxmlformats.org/officeDocument/2006/relationships" name="07_Controls" sheetId="8" r:id="Rc475fad4dce54ac8"/>
    <x:sheet xmlns:r="http://schemas.openxmlformats.org/officeDocument/2006/relationships" name="08_Forecast" sheetId="9" r:id="Rd419ba0d75ff4bfc"/>
    <x:sheet xmlns:r="http://schemas.openxmlformats.org/officeDocument/2006/relationships" name="09_Effectiveness" sheetId="10" r:id="Ra40bf2b3a1b94282"/>
    <x:sheet xmlns:r="http://schemas.openxmlformats.org/officeDocument/2006/relationships" name="10_Traceability" sheetId="11" r:id="R077d6dc86877415e"/>
    <x:sheet xmlns:r="http://schemas.openxmlformats.org/officeDocument/2006/relationships" name="11_Business_Insights" sheetId="12" r:id="Rcec5b35da09748e2"/>
    <x:sheet xmlns:r="http://schemas.openxmlformats.org/officeDocument/2006/relationships" name="12_Management_Actions" sheetId="13" r:id="Re459ffa7843d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;[Red]($#,##0);-"/>
    <x:numFmt numFmtId="201" formatCode="0.0%;[Red](0.0%);-"/>
    <x:numFmt numFmtId="202" formatCode="0"/>
    <x:numFmt numFmtId="203" formatCode="yyyy-mm-dd"/>
    <x:numFmt numFmtId="204" formatCode="$#,##0.00;[Red]($#,##0.00);-"/>
    <x:numFmt numFmtId="205" formatCode="0.00%;[Red](0.00%);-"/>
    <x:numFmt numFmtId="206" formatCode="0.0x"/>
    <x:numFmt numFmtId="207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b/>
      <x:sz val="13"/>
      <x:color rgb="FFFFFFFF"/>
      <x:name val="Carlito"/>
    </x:font>
    <x:font>
      <x:b/>
      <x:sz val="11"/>
      <x:color rgb="FF17365D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sz val="11"/>
      <x:color rgb="FF0000FF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200" fontId="7" fillId="0" borderId="1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horizontal="center"/>
    </x:xf>
    <x:xf numFmtId="201" fontId="7" fillId="0" borderId="1" xfId="0" applyNumberFormat="1" applyFont="1" applyFill="1" applyBorder="1"/>
    <x:xf numFmtId="201" fontId="7" fillId="0" borderId="1" xfId="0" applyNumberFormat="1" applyFont="1" applyFill="1" applyBorder="1" applyAlignment="1">
      <x:alignment horizontal="center"/>
    </x:xf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horizontal="center"/>
    </x:xf>
    <x:xf numFmtId="202" fontId="7" fillId="0" borderId="1" xfId="0" applyNumberFormat="1" applyFont="1" applyFill="1" applyBorder="1"/>
    <x:xf numFmtId="202" fontId="7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9" fillId="0" borderId="0" xfId="0" applyNumberFormat="1" applyFont="1" applyFill="1" applyBorder="1"/>
    <x:xf numFmtId="203" fontId="9" fillId="0" borderId="1" xfId="0" applyNumberFormat="1" applyFont="1" applyFill="1" applyBorder="1"/>
    <x:xf numFmtId="204" fontId="9" fillId="0" borderId="0" xfId="0" applyNumberFormat="1" applyFont="1" applyFill="1" applyBorder="1"/>
    <x:xf numFmtId="204" fontId="9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207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2922464bd42aa" /><Relationship Type="http://schemas.openxmlformats.org/officeDocument/2006/relationships/theme" Target="/xl/theme/theme1.xml" Id="R4f24cf4fb4624888" /><Relationship Type="http://schemas.microsoft.com/office/2022/11/relationships/FeaturePropertyBag" Target="/xl/featurePropertyBag/featurePropertyBag.xml" Id="Rc641a6cc3aa6444a" /><Relationship Type="http://schemas.openxmlformats.org/officeDocument/2006/relationships/sharedStrings" Target="/xl/sharedStrings.xml" Id="R1815d409abee422e" /><Relationship Type="http://schemas.openxmlformats.org/officeDocument/2006/relationships/worksheet" Target="/xl/worksheets/sheet1.xml" Id="R03d0e4bee6204bd2" /><Relationship Type="http://schemas.openxmlformats.org/officeDocument/2006/relationships/worksheet" Target="/xl/worksheets/sheet2.xml" Id="Rc520dd39738544af" /><Relationship Type="http://schemas.openxmlformats.org/officeDocument/2006/relationships/worksheet" Target="/xl/worksheets/sheet3.xml" Id="Rc374c90acda54360" /><Relationship Type="http://schemas.openxmlformats.org/officeDocument/2006/relationships/worksheet" Target="/xl/worksheets/sheet4.xml" Id="Rfe45126b337945c1" /><Relationship Type="http://schemas.openxmlformats.org/officeDocument/2006/relationships/worksheet" Target="/xl/worksheets/sheet5.xml" Id="R049ecefeea344f0f" /><Relationship Type="http://schemas.openxmlformats.org/officeDocument/2006/relationships/worksheet" Target="/xl/worksheets/sheet6.xml" Id="R0aa0233f956149a5" /><Relationship Type="http://schemas.openxmlformats.org/officeDocument/2006/relationships/worksheet" Target="/xl/worksheets/sheet7.xml" Id="R32e139b08ae643d2" /><Relationship Type="http://schemas.openxmlformats.org/officeDocument/2006/relationships/worksheet" Target="/xl/worksheets/sheet8.xml" Id="Rc475fad4dce54ac8" /><Relationship Type="http://schemas.openxmlformats.org/officeDocument/2006/relationships/worksheet" Target="/xl/worksheets/sheet9.xml" Id="Rd419ba0d75ff4bfc" /><Relationship Type="http://schemas.openxmlformats.org/officeDocument/2006/relationships/worksheet" Target="/xl/worksheets/sheet10.xml" Id="Ra40bf2b3a1b94282" /><Relationship Type="http://schemas.openxmlformats.org/officeDocument/2006/relationships/worksheet" Target="/xl/worksheets/sheet11.xml" Id="R077d6dc86877415e" /><Relationship Type="http://schemas.openxmlformats.org/officeDocument/2006/relationships/worksheet" Target="/xl/worksheets/sheet12.xml" Id="Rcec5b35da09748e2" /><Relationship Type="http://schemas.openxmlformats.org/officeDocument/2006/relationships/worksheet" Target="/xl/worksheets/sheet13.xml" Id="Re459ffa7843d43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606b5e7c4045b5" /><Relationship Type="http://schemas.openxmlformats.org/officeDocument/2006/relationships/chart" Target="/xl/drawings/charts/chart2.xml" Id="Rbec192fee9d141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8b7c375b6e44b7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d31af5b8f2e489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933a6cf2469459e" /><Relationship Type="http://schemas.openxmlformats.org/officeDocument/2006/relationships/chart" Target="/xl/drawings/charts/chart6.xml" Id="R23392446f3bd40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Attainment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Employee-Months</c:v>
          </c:tx>
          <c:cat>
            <c:strRef>
              <c:f>'00_Dashboard'!$A$35:$A$39</c:f>
              <c:strCache>
                <c:ptCount val="0"/>
              </c:strCache>
            </c:strRef>
          </c:cat>
          <c:val>
            <c:numRef>
              <c:f>'00_Dashboard'!$B$35:$B$39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Sales &amp; Commission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Forecast Sales</c:v>
          </c:tx>
          <c:cat>
            <c:strRef>
              <c:f>'00_Dashboard'!$G$35:$G$38</c:f>
              <c:strCache>
                <c:ptCount val="0"/>
              </c:strCache>
            </c:strRef>
          </c:cat>
          <c:val>
            <c:numRef>
              <c:f>'00_Dashboard'!$H$35:$H$38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Commission</c:v>
          </c:tx>
          <c:cat>
            <c:strRef>
              <c:f>'00_Dashboard'!$G$35:$G$38</c:f>
              <c:strCache>
                <c:ptCount val="0"/>
              </c:strCache>
            </c:strRef>
          </c:cat>
          <c:val>
            <c:numRef>
              <c:f>'00_Dashboard'!$I$35:$I$38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Commission by Scenario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Attainment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'08_Forecast'!$B$4:$B$7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Effective Quota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'08_Forecast'!$C$4:$C$7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Forecast Sales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'08_Forecast'!$D$4:$D$7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Tier1 Sales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'08_Forecast'!$E$4:$E$7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Tier2 Sales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'08_Forecast'!$F$4:$F$7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Tier3 Sales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'08_Forecast'!$G$4:$G$7</c:f>
              <c:numCache>
                <c:formatCode>$#,##0;[Red]($#,##0);-</c:formatCode>
                <c:ptCount val="0"/>
              </c:numCache>
            </c:numRef>
          </c:val>
        </c:ser>
        <c:ser>
          <c:idx val="6"/>
          <c:order val="6"/>
          <c:tx>
            <c:v>Tier4 Sales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'08_Forecast'!$H$4:$H$7</c:f>
              <c:numCache>
                <c:formatCode>$#,##0;[Red]($#,##0);-</c:formatCode>
                <c:ptCount val="0"/>
              </c:numCache>
            </c:numRef>
          </c:val>
        </c:ser>
        <c:ser>
          <c:idx val="7"/>
          <c:order val="7"/>
          <c:tx>
            <c:v>Base Commission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'08_Forecast'!$I$4:$I$7</c:f>
              <c:numCache>
                <c:formatCode>$#,##0;[Red]($#,##0);-</c:formatCode>
                <c:ptCount val="0"/>
              </c:numCache>
            </c:numRef>
          </c:val>
        </c:ser>
        <c:ser>
          <c:idx val="8"/>
          <c:order val="8"/>
          <c:tx>
            <c:v>Accelerator Commission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'08_Forecast'!$J$4:$J$7</c:f>
              <c:numCache>
                <c:formatCode>$#,##0;[Red]($#,##0);-</c:formatCode>
                <c:ptCount val="0"/>
              </c:numCache>
            </c:numRef>
          </c:val>
        </c:ser>
        <c:ser>
          <c:idx val="9"/>
          <c:order val="9"/>
          <c:tx>
            <c:v>Total Commission</c:v>
          </c:tx>
          <c:cat>
            <c:strRef>
              <c:f>'08_Forecast'!$A$4:$A$7</c:f>
              <c:strCache>
                <c:ptCount val="0"/>
              </c:strCache>
            </c:strRef>
          </c:cat>
          <c:val>
            <c:numRef>
              <c:f>'08_Forecast'!$K$4:$K$7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Commission Rate by Attainment Band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Employee_Months</c:v>
          </c:tx>
          <c:cat>
            <c:strRef>
              <c:f>'09_Effectiveness'!$D$5:$D$9</c:f>
              <c:strCache>
                <c:ptCount val="0"/>
              </c:strCache>
            </c:strRef>
          </c:cat>
          <c:val>
            <c:numRef>
              <c:f>'09_Effectiveness'!$E$5:$E$9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Eligible_Sales</c:v>
          </c:tx>
          <c:cat>
            <c:strRef>
              <c:f>'09_Effectiveness'!$D$5:$D$9</c:f>
              <c:strCache>
                <c:ptCount val="0"/>
              </c:strCache>
            </c:strRef>
          </c:cat>
          <c:val>
            <c:numRef>
              <c:f>'09_Effectiveness'!$F$5:$F$9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Working_Commission</c:v>
          </c:tx>
          <c:cat>
            <c:strRef>
              <c:f>'09_Effectiveness'!$D$5:$D$9</c:f>
              <c:strCache>
                <c:ptCount val="0"/>
              </c:strCache>
            </c:strRef>
          </c:cat>
          <c:val>
            <c:numRef>
              <c:f>'09_Effectiveness'!$G$5:$G$9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Commission_Rate</c:v>
          </c:tx>
          <c:cat>
            <c:strRef>
              <c:f>'09_Effectiveness'!$D$5:$D$9</c:f>
              <c:strCache>
                <c:ptCount val="0"/>
              </c:strCache>
            </c:strRef>
          </c:cat>
          <c:val>
            <c:numRef>
              <c:f>'09_Effectiveness'!$H$5:$H$9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Quota Coverage Erosion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Coverage</c:v>
          </c:tx>
          <c:cat>
            <c:strRef>
              <c:f>'11_Business_Insights'!$M$10:$M$12</c:f>
              <c:strCache>
                <c:ptCount val="0"/>
              </c:strCache>
            </c:strRef>
          </c:cat>
          <c:val>
            <c:numRef>
              <c:f>'11_Business_Insights'!$N$10:$N$12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Commission Expense Sensitivity vs 100%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Commission Change</c:v>
          </c:tx>
          <c:cat>
            <c:strRef>
              <c:f>'11_Business_Insights'!$O$10:$O$12</c:f>
              <c:strCache>
                <c:ptCount val="0"/>
              </c:strCache>
            </c:strRef>
          </c:cat>
          <c:val>
            <c:numRef>
              <c:f>'11_Business_Insights'!$P$10:$P$12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41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606b5e7c4045b5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c192fee9d141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b7c375b6e44b7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31af5b8f2e489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13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33a6cf2469459e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20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392446f3bd40c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206c993a6443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77565cfb09644c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ce28d4859de94c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f001296cc7b14853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3" t="str">
        <x:v>Sales Compensation &amp; Incentive Analytics — Portfolio Model</x:v>
      </x:c>
    </x:row>
    <x:row r="2">
      <x:c r="A2" s="8" t="str">
        <x:v>Northstar Workplace Solutions Canada — fictional portfolio simulation; not professional sales-compensation administration experience.</x:v>
      </x:c>
    </x:row>
    <x:row r="4">
      <x:c r="A4" s="14" t="str">
        <x:v>BUSINESS FLOW: Plan → Perform → Pay → Control → Forecast → Analyze</x:v>
      </x:c>
    </x:row>
    <x:row r="6">
      <x:c r="A6" s="22" t="str">
        <x:v>PERFORMANCE</x:v>
      </x:c>
      <x:c r="B6" s="19" t="str"/>
      <x:c r="C6" s="19" t="str"/>
      <x:c r="D6" s="22" t="str">
        <x:v>COMPENSATION</x:v>
      </x:c>
      <x:c r="E6" s="19" t="str"/>
      <x:c r="F6" s="19" t="str"/>
      <x:c r="G6" s="22" t="str">
        <x:v>CONTROL</x:v>
      </x:c>
      <x:c r="H6" s="19" t="str"/>
      <x:c r="I6" s="19" t="str"/>
      <x:c r="J6" s="22" t="str">
        <x:v>MANAGEMENT</x:v>
      </x:c>
      <x:c r="K6" s="19" t="str"/>
      <x:c r="L6" s="19" t="str"/>
    </x:row>
    <x:row r="7">
      <x:c r="A7" s="19" t="str">
        <x:v>What happened?</x:v>
      </x:c>
      <x:c r="B7" s="19" t="str"/>
      <x:c r="C7" s="19" t="str"/>
      <x:c r="D7" s="19" t="str">
        <x:v>What should we pay?</x:v>
      </x:c>
      <x:c r="E7" s="19" t="str"/>
      <x:c r="F7" s="19" t="str"/>
      <x:c r="G7" s="19" t="str">
        <x:v>Can we trust it?</x:v>
      </x:c>
      <x:c r="H7" s="19" t="str"/>
      <x:c r="I7" s="19" t="str"/>
      <x:c r="J7" s="19" t="str">
        <x:v>What should management do next?</x:v>
      </x:c>
      <x:c r="K7" s="19" t="str"/>
      <x:c r="L7" s="19" t="str"/>
    </x:row>
    <x:row r="8">
      <x:c r="A8" s="19" t="str">
        <x:v>Eligible sales, quota, attainment</x:v>
      </x:c>
      <x:c r="B8" s="19" t="str"/>
      <x:c r="C8" s="19" t="str"/>
      <x:c r="D8" s="19" t="str">
        <x:v>Marginal commission + SPIFF</x:v>
      </x:c>
      <x:c r="E8" s="19" t="str"/>
      <x:c r="F8" s="19" t="str"/>
      <x:c r="G8" s="19" t="str">
        <x:v>Exceptions + approval + reconciliation</x:v>
      </x:c>
      <x:c r="H8" s="19" t="str"/>
      <x:c r="I8" s="19" t="str"/>
      <x:c r="J8" s="19" t="str">
        <x:v>Coverage + forecast + effectiveness</x:v>
      </x:c>
      <x:c r="K8" s="19" t="str"/>
      <x:c r="L8" s="19" t="str"/>
    </x:row>
    <x:row r="11">
      <x:c r="A11" s="24" t="str">
        <x:v>Executive KPI Snapshot</x:v>
      </x:c>
    </x:row>
    <x:row r="13">
      <x:c r="A13" s="28" t="str">
        <x:v>Eligible Credited Sales</x:v>
      </x:c>
      <x:c r="B13" s="28"/>
      <x:c r="C13" s="28"/>
      <x:c r="D13" s="28" t="str">
        <x:v>Effective Quota</x:v>
      </x:c>
      <x:c r="E13" s="28"/>
      <x:c r="F13" s="28"/>
      <x:c r="G13" s="28" t="str">
        <x:v>Weighted Attainment</x:v>
      </x:c>
      <x:c r="H13" s="28"/>
      <x:c r="I13" s="28"/>
      <x:c r="J13" s="28" t="str">
        <x:v>Working Core Commission</x:v>
      </x:c>
      <x:c r="K13" s="28"/>
      <x:c r="L13" s="28"/>
    </x:row>
    <x:row r="14">
      <x:c r="A14" s="34" t="n">
        <x:f>SUM('05_Perf_Comm'!$G$2:$G$577)</x:f>
        <x:v>60793194.71999997</x:v>
      </x:c>
      <x:c r="B14" s="34"/>
      <x:c r="C14" s="34"/>
      <x:c r="D14" s="34" t="n">
        <x:f>SUM('05_Perf_Comm'!$E$2:$E$577)</x:f>
        <x:v>58393775.64516129</x:v>
      </x:c>
      <x:c r="E14" s="34"/>
      <x:c r="F14" s="34"/>
      <x:c r="G14" s="39" t="n">
        <x:f>IF(D14=0,0,SUMIF('05_Perf_Comm'!$E$2:$E$577,"&gt;0",'05_Perf_Comm'!$G$2:$G$577)/D14)</x:f>
        <x:v>1.0401762650028794</x:v>
      </x:c>
      <x:c r="H14" s="39"/>
      <x:c r="I14" s="39"/>
      <x:c r="J14" s="34" t="n">
        <x:f>SUM('05_Perf_Comm'!$P$2:$P$577)</x:f>
        <x:v>865265.1999645169</x:v>
      </x:c>
      <x:c r="K14" s="34"/>
      <x:c r="L14" s="34"/>
    </x:row>
    <x:row r="15">
      <x:c r="A15" s="34"/>
      <x:c r="B15" s="34"/>
      <x:c r="C15" s="34"/>
      <x:c r="D15" s="34"/>
      <x:c r="E15" s="34"/>
      <x:c r="F15" s="34"/>
      <x:c r="G15" s="39"/>
      <x:c r="H15" s="39"/>
      <x:c r="I15" s="39"/>
      <x:c r="J15" s="34"/>
      <x:c r="K15" s="34"/>
      <x:c r="L15" s="34"/>
    </x:row>
    <x:row r="17">
      <x:c r="A17" s="28" t="str">
        <x:v>Approved Compensation</x:v>
      </x:c>
      <x:c r="B17" s="28"/>
      <x:c r="C17" s="28"/>
      <x:c r="D17" s="28" t="str">
        <x:v>Q3 SPIFF Cost</x:v>
      </x:c>
      <x:c r="E17" s="28"/>
      <x:c r="F17" s="28"/>
      <x:c r="G17" s="28" t="str">
        <x:v>Effective Quota Coverage</x:v>
      </x:c>
      <x:c r="H17" s="28"/>
      <x:c r="I17" s="28"/>
      <x:c r="J17" s="28" t="str">
        <x:v>Detected Exceptions</x:v>
      </x:c>
      <x:c r="K17" s="28"/>
      <x:c r="L17" s="28"/>
    </x:row>
    <x:row r="18">
      <x:c r="A18" s="34" t="n">
        <x:f>'07_Controls'!$B$8</x:f>
        <x:v>864325.9324500009</x:v>
      </x:c>
      <x:c r="B18" s="34"/>
      <x:c r="C18" s="34"/>
      <x:c r="D18" s="34" t="n">
        <x:f>SUM('06_SPIFF'!$N$2:$N$49)</x:f>
        <x:v>18500</x:v>
      </x:c>
      <x:c r="E18" s="34"/>
      <x:c r="F18" s="34"/>
      <x:c r="G18" s="39" t="n">
        <x:f>D14/60000000</x:f>
        <x:v>0.9732295940860216</x:v>
      </x:c>
      <x:c r="H18" s="39"/>
      <x:c r="I18" s="39"/>
      <x:c r="J18" s="43" t="n">
        <x:f>COUNTA('07_Controls'!$A$23:$A$35)</x:f>
        <x:v>13</x:v>
      </x:c>
      <x:c r="K18" s="43"/>
      <x:c r="L18" s="43"/>
    </x:row>
    <x:row r="19">
      <x:c r="A19" s="34"/>
      <x:c r="B19" s="34"/>
      <x:c r="C19" s="34"/>
      <x:c r="D19" s="34"/>
      <x:c r="E19" s="34"/>
      <x:c r="F19" s="34"/>
      <x:c r="G19" s="39"/>
      <x:c r="H19" s="39"/>
      <x:c r="I19" s="39"/>
      <x:c r="J19" s="43"/>
      <x:c r="K19" s="43"/>
      <x:c r="L19" s="43"/>
    </x:row>
    <x:row r="22">
      <x:c r="A22" s="13" t="str">
        <x:v>Interview Walkthrough</x:v>
      </x:c>
      <x:c r="H22" s="13" t="str">
        <x:v>Portfolio Positioning</x:v>
      </x:c>
    </x:row>
    <x:row r="23">
      <x:c r="A23" s="46" t="str">
        <x:v>1</x:v>
      </x:c>
      <x:c r="B23" s="46" t="str">
        <x:v>02_Rules</x:v>
      </x:c>
      <x:c r="C23" s="48" t="str">
        <x:v>Explain fictional business rules before calculations.</x:v>
      </x:c>
      <x:c r="D23" s="48" t="str"/>
      <x:c r="E23" s="48" t="str"/>
      <x:c r="F23" s="48" t="str"/>
      <x:c r="H23" s="50" t="str">
        <x:v>“I built a portfolio simulation of the monthly sales-compensation process. I modeled quota assignments, transaction-level sales crediting, quota attainment, marginal commission and accelerators, a Q3 Technology Services SPIFF, exception controls, quota coverage against the Finance plan, and commission-expense forecasting. The project is not professional compensation-administration experience; it demonstrates my understanding of the end-to-end process.”</x:v>
      </x:c>
      <x:c r="I23" s="50"/>
      <x:c r="J23" s="50"/>
      <x:c r="K23" s="50"/>
      <x:c r="L23" s="50"/>
      <x:c r="M23" s="50"/>
      <x:c r="N23" s="50"/>
    </x:row>
    <x:row r="24">
      <x:c r="A24" s="46" t="str">
        <x:v>2</x:v>
      </x:c>
      <x:c r="B24" s="46" t="str">
        <x:v>03_Quota_Coverage</x:v>
      </x:c>
      <x:c r="C24" s="48" t="str">
        <x:v>Show 105% gross coverage vs 97.3% effective coverage.</x:v>
      </x:c>
      <x:c r="D24" s="48" t="str"/>
      <x:c r="E24" s="48" t="str"/>
      <x:c r="F24" s="48" t="str"/>
      <x:c r="H24" s="50"/>
      <x:c r="I24" s="50"/>
      <x:c r="J24" s="50"/>
      <x:c r="K24" s="50"/>
      <x:c r="L24" s="50"/>
      <x:c r="M24" s="50"/>
      <x:c r="N24" s="50"/>
    </x:row>
    <x:row r="25">
      <x:c r="A25" s="46" t="str">
        <x:v>3</x:v>
      </x:c>
      <x:c r="B25" s="46" t="str">
        <x:v>04_Sales_Credit</x:v>
      </x:c>
      <x:c r="C25" s="48" t="str">
        <x:v>Show raw revenue → eligible credited sales and control reasons.</x:v>
      </x:c>
      <x:c r="D25" s="48" t="str"/>
      <x:c r="E25" s="48" t="str"/>
      <x:c r="F25" s="48" t="str"/>
      <x:c r="H25" s="50"/>
      <x:c r="I25" s="50"/>
      <x:c r="J25" s="50"/>
      <x:c r="K25" s="50"/>
      <x:c r="L25" s="50"/>
      <x:c r="M25" s="50"/>
      <x:c r="N25" s="50"/>
    </x:row>
    <x:row r="26">
      <x:c r="A26" s="46" t="str">
        <x:v>4</x:v>
      </x:c>
      <x:c r="B26" s="46" t="str">
        <x:v>05_Perf_Comm</x:v>
      </x:c>
      <x:c r="C26" s="48" t="str">
        <x:v>Show quota attainment and working commission by employee-month.</x:v>
      </x:c>
      <x:c r="D26" s="48" t="str"/>
      <x:c r="E26" s="48" t="str"/>
      <x:c r="F26" s="48" t="str"/>
      <x:c r="H26" s="50"/>
      <x:c r="I26" s="50"/>
      <x:c r="J26" s="50"/>
      <x:c r="K26" s="50"/>
      <x:c r="L26" s="50"/>
      <x:c r="M26" s="50"/>
      <x:c r="N26" s="50"/>
    </x:row>
    <x:row r="27">
      <x:c r="A27" s="46" t="str">
        <x:v>5</x:v>
      </x:c>
      <x:c r="B27" s="46" t="str">
        <x:v>10_Traceability</x:v>
      </x:c>
      <x:c r="C27" s="48" t="str">
        <x:v>Trace Maya's August commission tier by tier.</x:v>
      </x:c>
      <x:c r="D27" s="48" t="str"/>
      <x:c r="E27" s="48" t="str"/>
      <x:c r="F27" s="48" t="str"/>
      <x:c r="H27" s="50"/>
      <x:c r="I27" s="50"/>
      <x:c r="J27" s="50"/>
      <x:c r="K27" s="50"/>
      <x:c r="L27" s="50"/>
      <x:c r="M27" s="50"/>
      <x:c r="N27" s="50"/>
    </x:row>
    <x:row r="28">
      <x:c r="A28" s="46" t="str">
        <x:v>6</x:v>
      </x:c>
      <x:c r="B28" s="46" t="str">
        <x:v>06_SPIFF</x:v>
      </x:c>
      <x:c r="C28" s="48" t="str">
        <x:v>Explain separate Q3 Technology Services incentive.</x:v>
      </x:c>
      <x:c r="D28" s="48" t="str"/>
      <x:c r="E28" s="48" t="str"/>
      <x:c r="F28" s="48" t="str"/>
      <x:c r="H28" s="50"/>
      <x:c r="I28" s="50"/>
      <x:c r="J28" s="50"/>
      <x:c r="K28" s="50"/>
      <x:c r="L28" s="50"/>
      <x:c r="M28" s="50"/>
      <x:c r="N28" s="50"/>
    </x:row>
    <x:row r="29">
      <x:c r="A29" s="46" t="str">
        <x:v>7</x:v>
      </x:c>
      <x:c r="B29" s="46" t="str">
        <x:v>07_Controls</x:v>
      </x:c>
      <x:c r="C29" s="48" t="str">
        <x:v>Show exception HOLDs, approval, and payroll reconciliation.</x:v>
      </x:c>
      <x:c r="D29" s="48" t="str"/>
      <x:c r="E29" s="48" t="str"/>
      <x:c r="F29" s="48" t="str"/>
      <x:c r="H29" s="50"/>
      <x:c r="I29" s="50"/>
      <x:c r="J29" s="50"/>
      <x:c r="K29" s="50"/>
      <x:c r="L29" s="50"/>
      <x:c r="M29" s="50"/>
      <x:c r="N29" s="50"/>
    </x:row>
    <x:row r="30">
      <x:c r="A30" s="46" t="str">
        <x:v>8</x:v>
      </x:c>
      <x:c r="B30" s="46" t="str">
        <x:v>08_Forecast / 09_Effectiveness</x:v>
      </x:c>
      <x:c r="C30" s="48" t="str">
        <x:v>Finish with Finance forecasting and management insight.</x:v>
      </x:c>
      <x:c r="D30" s="48" t="str"/>
      <x:c r="E30" s="48" t="str"/>
      <x:c r="F30" s="48" t="str"/>
      <x:c r="H30" s="50"/>
      <x:c r="I30" s="50"/>
      <x:c r="J30" s="50"/>
      <x:c r="K30" s="50"/>
      <x:c r="L30" s="50"/>
      <x:c r="M30" s="50"/>
      <x:c r="N30" s="50"/>
    </x:row>
    <x:row r="34">
      <x:c r="A34" s="13" t="str">
        <x:v>Performance Band</x:v>
      </x:c>
      <x:c r="B34" s="13" t="str">
        <x:v>Employee-Months</x:v>
      </x:c>
      <x:c r="C34" s="13" t="str">
        <x:v>Working Commission</x:v>
      </x:c>
      <x:c r="D34" s="13" t="str">
        <x:v>Commission Rate</x:v>
      </x:c>
      <x:c r="E34" s="13" t="str">
        <x:v>Sales</x:v>
      </x:c>
      <x:c r="G34" s="13" t="str">
        <x:v>Scenario</x:v>
      </x:c>
      <x:c r="H34" s="13" t="str">
        <x:v>Forecast Sales</x:v>
      </x:c>
      <x:c r="I34" s="13" t="str">
        <x:v>Commission</x:v>
      </x:c>
      <x:c r="J34" s="13" t="str">
        <x:v>Accelerator Premium</x:v>
      </x:c>
    </x:row>
    <x:row r="35">
      <x:c r="A35" t="str">
        <x:v>Below 80%</x:v>
      </x:c>
      <x:c r="B35" t="n">
        <x:f>'09_Effectiveness'!E5</x:f>
        <x:v>37</x:v>
      </x:c>
      <x:c r="C35" s="66" t="n">
        <x:f>'09_Effectiveness'!G5</x:f>
        <x:v>32635.2053</x:v>
      </x:c>
      <x:c r="D35" s="68" t="n">
        <x:f>'09_Effectiveness'!H5</x:f>
        <x:v>0.009999999999999998</x:v>
      </x:c>
      <x:c r="E35" s="66" t="n">
        <x:f>'09_Effectiveness'!F5</x:f>
        <x:v>3263520.5300000007</x:v>
      </x:c>
      <x:c r="G35" t="str">
        <x:f>'08_Forecast'!A4</x:f>
        <x:v>Downside</x:v>
      </x:c>
      <x:c r="H35" s="66" t="n">
        <x:f>'08_Forecast'!D4</x:f>
        <x:v>52554398.08064517</x:v>
      </x:c>
      <x:c r="I35" s="66" t="n">
        <x:f>'08_Forecast'!K4</x:f>
        <x:v>583937.7564516129</x:v>
      </x:c>
      <x:c r="J35" s="66" t="n">
        <x:f>'08_Forecast'!M4</x:f>
        <x:v>0</x:v>
      </x:c>
    </x:row>
    <x:row r="36">
      <x:c r="A36" t="str">
        <x:v>80%-99.99%</x:v>
      </x:c>
      <x:c r="B36" t="n">
        <x:f>'09_Effectiveness'!E6</x:f>
        <x:v>190</x:v>
      </x:c>
      <x:c r="C36" s="66" t="n">
        <x:f>'09_Effectiveness'!G6</x:f>
        <x:v>217027.83729677415</x:v>
      </x:c>
      <x:c r="D36" s="68" t="n">
        <x:f>'09_Effectiveness'!H6</x:f>
        <x:v>0.01132844958047126</x:v>
      </x:c>
      <x:c r="E36" s="66" t="n">
        <x:f>'09_Effectiveness'!F6</x:f>
        <x:v>19157770.509999998</x:v>
      </x:c>
      <x:c r="G36" t="str">
        <x:f>'08_Forecast'!A5</x:f>
        <x:v>Plan</x:v>
      </x:c>
      <x:c r="H36" s="66" t="n">
        <x:f>'08_Forecast'!D5</x:f>
        <x:v>58393775.64516129</x:v>
      </x:c>
      <x:c r="I36" s="66" t="n">
        <x:f>'08_Forecast'!K5</x:f>
        <x:v>700725.3077419355</x:v>
      </x:c>
      <x:c r="J36" s="66" t="n">
        <x:f>'08_Forecast'!M5</x:f>
        <x:v>0</x:v>
      </x:c>
    </x:row>
    <x:row r="37">
      <x:c r="A37" t="str">
        <x:v>100%-109.99%</x:v>
      </x:c>
      <x:c r="B37" t="n">
        <x:f>'09_Effectiveness'!E7</x:f>
        <x:v>138</x:v>
      </x:c>
      <x:c r="C37" s="66" t="n">
        <x:f>'09_Effectiveness'!G7</x:f>
        <x:v>196315.78386774202</x:v>
      </x:c>
      <x:c r="D37" s="68" t="n">
        <x:f>'09_Effectiveness'!H7</x:f>
        <x:v>0.013059189870561667</x:v>
      </x:c>
      <x:c r="E37" s="66" t="n">
        <x:f>'09_Effectiveness'!F7</x:f>
        <x:v>15032768.939999998</x:v>
      </x:c>
      <x:c r="G37" t="str">
        <x:f>'08_Forecast'!A6</x:f>
        <x:v>Upside</x:v>
      </x:c>
      <x:c r="H37" s="66" t="n">
        <x:f>'08_Forecast'!D6</x:f>
        <x:v>64233153.20967743</x:v>
      </x:c>
      <x:c r="I37" s="66" t="n">
        <x:f>'08_Forecast'!K6</x:f>
        <x:v>905103.5225000002</x:v>
      </x:c>
      <x:c r="J37" s="66" t="n">
        <x:f>'08_Forecast'!M6</x:f>
        <x:v>87590.66346774204</x:v>
      </x:c>
    </x:row>
    <x:row r="38">
      <x:c r="A38" t="str">
        <x:v>110%-174.99%</x:v>
      </x:c>
      <x:c r="B38" t="n">
        <x:f>'09_Effectiveness'!E8</x:f>
        <x:v>176</x:v>
      </x:c>
      <x:c r="C38" s="66" t="n">
        <x:f>'09_Effectiveness'!G8</x:f>
        <x:v>410293.87349999987</x:v>
      </x:c>
      <x:c r="D38" s="68" t="n">
        <x:f>'09_Effectiveness'!H8</x:f>
        <x:v>0.017857840373190256</x:v>
      </x:c>
      <x:c r="E38" s="66" t="n">
        <x:f>'09_Effectiveness'!F8</x:f>
        <x:v>22975559.470000006</x:v>
      </x:c>
      <x:c r="G38" t="str">
        <x:f>'08_Forecast'!A7</x:f>
        <x:v>High Upside</x:v>
      </x:c>
      <x:c r="H38" s="66" t="n">
        <x:f>'08_Forecast'!D7</x:f>
        <x:v>70072530.77419356</x:v>
      </x:c>
      <x:c r="I38" s="66" t="n">
        <x:f>'08_Forecast'!K7</x:f>
        <x:v>1197072.4007258066</x:v>
      </x:c>
      <x:c r="J38" s="66" t="n">
        <x:f>'08_Forecast'!M7</x:f>
        <x:v>262771.9904032259</x:v>
      </x:c>
    </x:row>
    <x:row r="39">
      <x:c r="A39" t="str">
        <x:v>175%+ Review</x:v>
      </x:c>
      <x:c r="B39" t="n">
        <x:f>'09_Effectiveness'!E9</x:f>
        <x:v>1</x:v>
      </x:c>
      <x:c r="C39" s="66" t="n">
        <x:f>'09_Effectiveness'!G9</x:f>
        <x:v>8992.499999999996</x:v>
      </x:c>
      <x:c r="D39" s="68" t="n">
        <x:f>'09_Effectiveness'!H9</x:f>
        <x:v>0.028989361702127653</x:v>
      </x:c>
      <x:c r="E39" s="66" t="n">
        <x:f>'09_Effectiveness'!F9</x:f>
        <x:v>310199.99999999994</x:v>
      </x:c>
    </x:row>
  </x:sheetData>
  <x:mergeCells>
    <x:mergeCell ref="A1:N1"/>
    <x:mergeCell ref="A2:N2"/>
    <x:mergeCell ref="A4:N4"/>
    <x:mergeCell ref="A11:N11"/>
    <x:mergeCell ref="A13:C13"/>
    <x:mergeCell ref="A14:C15"/>
    <x:mergeCell ref="D13:F13"/>
    <x:mergeCell ref="D14:F15"/>
    <x:mergeCell ref="G13:I13"/>
    <x:mergeCell ref="G14:I15"/>
    <x:mergeCell ref="J13:L13"/>
    <x:mergeCell ref="J14:L15"/>
    <x:mergeCell ref="A17:C17"/>
    <x:mergeCell ref="A18:C19"/>
    <x:mergeCell ref="D17:F17"/>
    <x:mergeCell ref="D18:F19"/>
    <x:mergeCell ref="G17:I17"/>
    <x:mergeCell ref="G18:I19"/>
    <x:mergeCell ref="J17:L17"/>
    <x:mergeCell ref="J18:L19"/>
    <x:mergeCell ref="A22:F22"/>
    <x:mergeCell ref="H22:N22"/>
    <x:mergeCell ref="H23:N30"/>
  </x:mergeCells>
  <x:pageMargins left="0.7" right="0.7" top="0.75" bottom="0.75" header="0.3" footer="0.3"/>
  <x:drawing xmlns:r="http://schemas.openxmlformats.org/officeDocument/2006/relationships" r:id="Ref206c993a64433b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34" hidden="0" customWidth="1"/>
    <x:col min="5" max="5" width="30" hidden="0" customWidth="1"/>
    <x:col min="6" max="6" width="20" hidden="0" customWidth="1"/>
    <x:col min="7" max="7" width="27" hidden="0" customWidth="1"/>
    <x:col min="8" max="8" width="45" hidden="0" customWidth="1"/>
  </x:cols>
  <x:sheetData>
    <x:row r="1">
      <x:c r="A1" s="52" t="str">
        <x:v>Model Guide &amp; Data Lineage</x:v>
      </x:c>
    </x:row>
    <x:row r="3">
      <x:c r="A3" s="54" t="str">
        <x:v>Step</x:v>
      </x:c>
      <x:c r="B3" s="54" t="str">
        <x:v>Sheet</x:v>
      </x:c>
      <x:c r="C3" s="54" t="str">
        <x:v>Grain</x:v>
      </x:c>
      <x:c r="D3" s="54" t="str">
        <x:v>Business Question</x:v>
      </x:c>
      <x:c r="E3" s="54" t="str">
        <x:v>Key Output</x:v>
      </x:c>
      <x:c r="F3" s="54" t="str">
        <x:v>Model Type</x:v>
      </x:c>
      <x:c r="G3" s="54" t="str">
        <x:v>Control Point</x:v>
      </x:c>
      <x:c r="H3" s="54" t="str">
        <x:v>Interview Message</x:v>
      </x:c>
    </x:row>
    <x:row r="4">
      <x:c r="A4" t="n">
        <x:v>1</x:v>
      </x:c>
      <x:c r="B4" t="str">
        <x:v>02_Rules</x:v>
      </x:c>
      <x:c r="C4" t="str">
        <x:v>Plan/rule</x:v>
      </x:c>
      <x:c r="D4" s="48" t="str">
        <x:v>What rules govern payout?</x:v>
      </x:c>
      <x:c r="E4" s="48" t="str">
        <x:v>Quota, commission, SPIFF rules</x:v>
      </x:c>
      <x:c r="F4" s="48" t="str">
        <x:v>Inputs</x:v>
      </x:c>
      <x:c r="G4" s="48" t="str">
        <x:v>Effective dating</x:v>
      </x:c>
      <x:c r="H4" s="48" t="str">
        <x:v>Start with business logic.</x:v>
      </x:c>
    </x:row>
    <x:row r="5">
      <x:c r="A5" t="n">
        <x:v>2</x:v>
      </x:c>
      <x:c r="B5" t="str">
        <x:v>03_Quota_Coverage</x:v>
      </x:c>
      <x:c r="C5" t="str">
        <x:v>Employee / region</x:v>
      </x:c>
      <x:c r="D5" s="48" t="str">
        <x:v>How much quota capacity is actually in force?</x:v>
      </x:c>
      <x:c r="E5" s="48" t="str">
        <x:v>Gross, nominal, effective coverage</x:v>
      </x:c>
      <x:c r="F5" s="48" t="str">
        <x:v>Inputs + formulas</x:v>
      </x:c>
      <x:c r="G5" s="48" t="str">
        <x:v>Lifecycle / missing quota</x:v>
      </x:c>
      <x:c r="H5" s="48" t="str">
        <x:v>Planning coverage ≠ operational coverage.</x:v>
      </x:c>
    </x:row>
    <x:row r="6">
      <x:c r="A6" t="n">
        <x:v>3</x:v>
      </x:c>
      <x:c r="B6" t="str">
        <x:v>04_Sales_Credit</x:v>
      </x:c>
      <x:c r="C6" t="str">
        <x:v>Summary + control examples</x:v>
      </x:c>
      <x:c r="D6" s="48" t="str">
        <x:v>Does source revenue count?</x:v>
      </x:c>
      <x:c r="E6" s="48" t="str">
        <x:v>Eligible sales and exclusion reasons</x:v>
      </x:c>
      <x:c r="F6" s="48" t="str">
        <x:v>Validated summary</x:v>
      </x:c>
      <x:c r="G6" s="48" t="str">
        <x:v>Duplicate/employee/product/date/status</x:v>
      </x:c>
      <x:c r="H6" s="48" t="str">
        <x:v>Raw revenue ≠ commissionable revenue.</x:v>
      </x:c>
    </x:row>
    <x:row r="7">
      <x:c r="A7" t="n">
        <x:v>4</x:v>
      </x:c>
      <x:c r="B7" t="str">
        <x:v>05_Perf_Comm</x:v>
      </x:c>
      <x:c r="C7" t="str">
        <x:v>Employee × month</x:v>
      </x:c>
      <x:c r="D7" s="48" t="str">
        <x:v>How did each rep perform and what commission is calculated?</x:v>
      </x:c>
      <x:c r="E7" s="48" t="str">
        <x:v>Attainment, base, accelerator, working commission</x:v>
      </x:c>
      <x:c r="F7" s="48" t="str">
        <x:v>Inputs + formulas</x:v>
      </x:c>
      <x:c r="G7" s="48" t="str">
        <x:v>Quota + credit controls</x:v>
      </x:c>
      <x:c r="H7" s="48" t="str">
        <x:v>Working result is not yet approved.</x:v>
      </x:c>
    </x:row>
    <x:row r="8">
      <x:c r="A8" t="n">
        <x:v>5</x:v>
      </x:c>
      <x:c r="B8" t="str">
        <x:v>06_SPIFF</x:v>
      </x:c>
      <x:c r="C8" t="str">
        <x:v>Employee × SPIFF</x:v>
      </x:c>
      <x:c r="D8" s="48" t="str">
        <x:v>What temporary award was earned?</x:v>
      </x:c>
      <x:c r="E8" s="48" t="str">
        <x:v>Q3 TSVC target, attainment, award</x:v>
      </x:c>
      <x:c r="F8" s="48" t="str">
        <x:v>Inputs + formulas</x:v>
      </x:c>
      <x:c r="G8" s="48" t="str">
        <x:v>Eligibility / target</x:v>
      </x:c>
      <x:c r="H8" s="48" t="str">
        <x:v>SPIFF remains separate from core commission.</x:v>
      </x:c>
    </x:row>
    <x:row r="9">
      <x:c r="A9" t="n">
        <x:v>6</x:v>
      </x:c>
      <x:c r="B9" t="str">
        <x:v>07_Controls</x:v>
      </x:c>
      <x:c r="C9" t="str">
        <x:v>Exception / payout run</x:v>
      </x:c>
      <x:c r="D9" s="48" t="str">
        <x:v>Can the payment be trusted?</x:v>
      </x:c>
      <x:c r="E9" s="48" t="str">
        <x:v>HOLD, review, approved amount, reconciliation</x:v>
      </x:c>
      <x:c r="F9" s="48" t="str">
        <x:v>Validated controls</x:v>
      </x:c>
      <x:c r="G9" s="48" t="str">
        <x:v>Approval lifecycle</x:v>
      </x:c>
      <x:c r="H9" s="48" t="str">
        <x:v>Working comp = approved + held/review.</x:v>
      </x:c>
    </x:row>
    <x:row r="10">
      <x:c r="A10" t="n">
        <x:v>7</x:v>
      </x:c>
      <x:c r="B10" t="str">
        <x:v>08_Forecast</x:v>
      </x:c>
      <x:c r="C10" t="str">
        <x:v>Scenario</x:v>
      </x:c>
      <x:c r="D10" s="48" t="str">
        <x:v>What might the plan cost?</x:v>
      </x:c>
      <x:c r="E10" s="48" t="str">
        <x:v>90/100/110/120% commission forecast</x:v>
      </x:c>
      <x:c r="F10" s="48" t="str">
        <x:v>Formulas</x:v>
      </x:c>
      <x:c r="G10" s="48" t="str">
        <x:v>Accelerator cost</x:v>
      </x:c>
      <x:c r="H10" s="48" t="str">
        <x:v>Expense becomes nonlinear above quota.</x:v>
      </x:c>
    </x:row>
    <x:row r="11">
      <x:c r="A11" t="n">
        <x:v>8</x:v>
      </x:c>
      <x:c r="B11" t="str">
        <x:v>09_Effectiveness</x:v>
      </x:c>
      <x:c r="C11" t="str">
        <x:v>Band / scorecard</x:v>
      </x:c>
      <x:c r="D11" s="48" t="str">
        <x:v>Does the plan look economically coherent?</x:v>
      </x:c>
      <x:c r="E11" s="48" t="str">
        <x:v>Pay-performance and incentive economics</x:v>
      </x:c>
      <x:c r="F11" s="48" t="str">
        <x:v>Formulas + criteria</x:v>
      </x:c>
      <x:c r="G11" s="48" t="str">
        <x:v>No causal claims</x:v>
      </x:c>
      <x:c r="H11" s="48" t="str">
        <x:v>Effectiveness ≠ administration.</x:v>
      </x:c>
    </x:row>
    <x:row r="12">
      <x:c r="A12" t="n">
        <x:v>9</x:v>
      </x:c>
      <x:c r="B12" t="str">
        <x:v>10_Traceability</x:v>
      </x:c>
      <x:c r="C12" t="str">
        <x:v>Selected rep / tier</x:v>
      </x:c>
      <x:c r="D12" s="48" t="str">
        <x:v>Why exactly did this rep earn this amount?</x:v>
      </x:c>
      <x:c r="E12" s="48" t="str">
        <x:v>Maya &amp; Priyanka tier traces</x:v>
      </x:c>
      <x:c r="F12" s="48" t="str">
        <x:v>Formulas</x:v>
      </x:c>
      <x:c r="G12" s="48" t="str">
        <x:v>Auditability</x:v>
      </x:c>
      <x:c r="H12" s="48" t="str">
        <x:v>Every payout can be decomposed.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50" hidden="0" customWidth="1"/>
    <x:col min="6" max="6" width="18" hidden="0" customWidth="1"/>
    <x:col min="7" max="7" width="18" hidden="0" customWidth="1"/>
    <x:col min="8" max="8" width="17" hidden="0" customWidth="1"/>
    <x:col min="9" max="9" width="30" hidden="0" customWidth="1"/>
    <x:col min="10" max="10" width="18" hidden="0" customWidth="1"/>
    <x:col min="11" max="11" width="28" hidden="0" customWidth="1"/>
  </x:cols>
  <x:sheetData>
    <x:row r="1">
      <x:c r="A1" s="52" t="str">
        <x:v>Business Rules &amp; Plan Assumptions</x:v>
      </x:c>
    </x:row>
    <x:row r="3">
      <x:c r="A3" s="13" t="str">
        <x:v>Planning Rule</x:v>
      </x:c>
      <x:c r="B3" s="13" t="str">
        <x:v>Value</x:v>
      </x:c>
      <x:c r="C3" s="13" t="str">
        <x:v>Units</x:v>
      </x:c>
      <x:c r="D3" s="13" t="str">
        <x:v>Notes</x:v>
      </x:c>
      <x:c r="F3" s="13" t="str">
        <x:v>Tier</x:v>
      </x:c>
      <x:c r="G3" s="13" t="str">
        <x:v>Attainment_From</x:v>
      </x:c>
      <x:c r="H3" s="13" t="str">
        <x:v>Attainment_To</x:v>
      </x:c>
      <x:c r="I3" s="13" t="str">
        <x:v>Rate</x:v>
      </x:c>
      <x:c r="J3" s="13" t="str">
        <x:v>Component</x:v>
      </x:c>
      <x:c r="K3" s="13" t="str">
        <x:v>Meaning</x:v>
      </x:c>
    </x:row>
    <x:row r="4">
      <x:c r="A4" t="str">
        <x:v>Finance Sales Plan</x:v>
      </x:c>
      <x:c r="B4" s="58" t="n">
        <x:v>60000000</x:v>
      </x:c>
      <x:c r="C4" t="str">
        <x:v>CAD</x:v>
      </x:c>
      <x:c r="D4" t="str">
        <x:v>Fictional 2026 plan</x:v>
      </x:c>
      <x:c r="F4" t="n">
        <x:v>1</x:v>
      </x:c>
      <x:c r="G4" s="60" t="n">
        <x:v>0</x:v>
      </x:c>
      <x:c r="H4" s="60" t="n">
        <x:v>0.8</x:v>
      </x:c>
      <x:c r="I4" s="60" t="n">
        <x:v>0.01</x:v>
      </x:c>
      <x:c r="J4" t="str">
        <x:v>Base</x:v>
      </x:c>
      <x:c r="K4" t="str">
        <x:v>First 80%</x:v>
      </x:c>
    </x:row>
    <x:row r="5">
      <x:c r="A5" t="str">
        <x:v>Gross Quota Book</x:v>
      </x:c>
      <x:c r="B5" s="58" t="n">
        <x:v>63000000</x:v>
      </x:c>
      <x:c r="C5" t="str">
        <x:v>CAD</x:v>
      </x:c>
      <x:c r="D5" t="str">
        <x:v>105% coverage</x:v>
      </x:c>
      <x:c r="F5" t="n">
        <x:v>2</x:v>
      </x:c>
      <x:c r="G5" s="60" t="n">
        <x:v>0.8</x:v>
      </x:c>
      <x:c r="H5" s="60" t="n">
        <x:v>1</x:v>
      </x:c>
      <x:c r="I5" s="60" t="n">
        <x:v>0.02</x:v>
      </x:c>
      <x:c r="J5" t="str">
        <x:v>Base</x:v>
      </x:c>
      <x:c r="K5" t="str">
        <x:v>80%-100%</x:v>
      </x:c>
    </x:row>
    <x:row r="6">
      <x:c r="A6" t="str">
        <x:v>Target Coverage</x:v>
      </x:c>
      <x:c r="B6" s="60" t="n">
        <x:v>1.05</x:v>
      </x:c>
      <x:c r="C6" t="str">
        <x:v>%</x:v>
      </x:c>
      <x:c r="D6" t="str">
        <x:v>Planning buffer</x:v>
      </x:c>
      <x:c r="F6" t="n">
        <x:v>3</x:v>
      </x:c>
      <x:c r="G6" s="60" t="n">
        <x:v>1</x:v>
      </x:c>
      <x:c r="H6" s="60" t="n">
        <x:v>1.1</x:v>
      </x:c>
      <x:c r="I6" s="60" t="n">
        <x:v>0.035</x:v>
      </x:c>
      <x:c r="J6" t="str">
        <x:v>Accelerator</x:v>
      </x:c>
      <x:c r="K6" t="str">
        <x:v>100%-110%</x:v>
      </x:c>
    </x:row>
    <x:row r="7">
      <x:c r="A7" t="str">
        <x:v>New-hire month ramp</x:v>
      </x:c>
      <x:c r="B7" s="60" t="n">
        <x:v>0.5</x:v>
      </x:c>
      <x:c r="C7" t="str">
        <x:v>%</x:v>
      </x:c>
      <x:c r="D7" t="str">
        <x:v>Plus active-day proration</x:v>
      </x:c>
      <x:c r="F7" t="n">
        <x:v>4</x:v>
      </x:c>
      <x:c r="G7" s="60" t="n">
        <x:v>1.1</x:v>
      </x:c>
      <x:c r="H7" s="60"/>
      <x:c r="I7" s="60" t="n">
        <x:v>0.05</x:v>
      </x:c>
      <x:c r="J7" t="str">
        <x:v>Accelerator</x:v>
      </x:c>
      <x:c r="K7" t="str">
        <x:v>&gt;110%</x:v>
      </x:c>
    </x:row>
    <x:row r="8">
      <x:c r="A8" t="str">
        <x:v>Second month ramp</x:v>
      </x:c>
      <x:c r="B8" s="60" t="n">
        <x:v>0.75</x:v>
      </x:c>
      <x:c r="C8" t="str">
        <x:v>%</x:v>
      </x:c>
      <x:c r="D8" t="str">
        <x:v>Third month onward 100%</x:v>
      </x:c>
    </x:row>
    <x:row r="9">
      <x:c r="A9" t="str">
        <x:v>High-attainment review threshold</x:v>
      </x:c>
      <x:c r="B9" s="60" t="n">
        <x:v>1.75</x:v>
      </x:c>
      <x:c r="C9" t="str">
        <x:v>%</x:v>
      </x:c>
      <x:c r="D9" t="str">
        <x:v>Review, not cap</x:v>
      </x:c>
    </x:row>
    <x:row r="13">
      <x:c r="A13" s="13" t="str">
        <x:v>Sales-Credit Rule</x:v>
      </x:c>
      <x:c r="B13" s="13" t="str">
        <x:v>Treatment</x:v>
      </x:c>
      <x:c r="C13" s="13" t="str">
        <x:v>Credited Amount</x:v>
      </x:c>
      <x:c r="D13" s="13" t="str">
        <x:v>Reason</x:v>
      </x:c>
      <x:c r="F13" s="13" t="str">
        <x:v>SPIFF Rule</x:v>
      </x:c>
      <x:c r="G13" s="13" t="str">
        <x:v>Value</x:v>
      </x:c>
      <x:c r="H13" s="13" t="str">
        <x:v>Units</x:v>
      </x:c>
      <x:c r="I13" s="13" t="str">
        <x:v>Notes</x:v>
      </x:c>
    </x:row>
    <x:row r="14">
      <x:c r="A14" t="str">
        <x:v>Valid invoiced commissionable sale</x:v>
      </x:c>
      <x:c r="B14" t="str">
        <x:v>Eligible</x:v>
      </x:c>
      <x:c r="C14" t="str">
        <x:v>Raw revenue</x:v>
      </x:c>
      <x:c r="D14" t="str">
        <x:v>Counts toward compensation</x:v>
      </x:c>
      <x:c r="F14" t="str">
        <x:v>Program</x:v>
      </x:c>
      <x:c r="G14" s="56" t="str">
        <x:v>Q3 Technology Services</x:v>
      </x:c>
      <x:c r="H14" t="str"/>
      <x:c r="I14" t="str">
        <x:v>Jul-Sep</x:v>
      </x:c>
    </x:row>
    <x:row r="15">
      <x:c r="A15" t="str">
        <x:v>Valid processed return</x:v>
      </x:c>
      <x:c r="B15" t="str">
        <x:v>Eligible</x:v>
      </x:c>
      <x:c r="C15" t="str">
        <x:v>Negative revenue</x:v>
      </x:c>
      <x:c r="D15" t="str">
        <x:v>Reduces credited sales in return month</x:v>
      </x:c>
      <x:c r="F15" t="str">
        <x:v>Target</x:v>
      </x:c>
      <x:c r="G15" s="60" t="n">
        <x:v>0.12</x:v>
      </x:c>
      <x:c r="H15" t="str">
        <x:v>% of effective Q3 quota</x:v>
      </x:c>
      <x:c r="I15" t="str">
        <x:v>Quota-normalized</x:v>
      </x:c>
    </x:row>
    <x:row r="16">
      <x:c r="A16" t="str">
        <x:v>Shipping / Tax</x:v>
      </x:c>
      <x:c r="B16" t="str">
        <x:v>Excluded</x:v>
      </x:c>
      <x:c r="C16" t="n">
        <x:v>0</x:v>
      </x:c>
      <x:c r="D16" t="str">
        <x:v>Legitimate but noncommissionable</x:v>
      </x:c>
      <x:c r="F16" t="str">
        <x:v>&lt;80%</x:v>
      </x:c>
      <x:c r="G16" s="58" t="n">
        <x:v>0</x:v>
      </x:c>
      <x:c r="H16" t="str">
        <x:v>CAD</x:v>
      </x:c>
      <x:c r="I16" t="str">
        <x:v>No award</x:v>
      </x:c>
    </x:row>
    <x:row r="17">
      <x:c r="A17" t="str">
        <x:v>Cancelled transaction</x:v>
      </x:c>
      <x:c r="B17" t="str">
        <x:v>Excluded</x:v>
      </x:c>
      <x:c r="C17" t="n">
        <x:v>0</x:v>
      </x:c>
      <x:c r="D17" t="str">
        <x:v>No compensation credit</x:v>
      </x:c>
      <x:c r="F17" t="str">
        <x:v>80%-99.99%</x:v>
      </x:c>
      <x:c r="G17" s="58" t="n">
        <x:v>250</x:v>
      </x:c>
      <x:c r="H17" t="str">
        <x:v>CAD</x:v>
      </x:c>
      <x:c r="I17" t="str">
        <x:v>Highest tier only</x:v>
      </x:c>
    </x:row>
    <x:row r="18">
      <x:c r="A18" t="str">
        <x:v>Duplicate / invalid employee / unknown product</x:v>
      </x:c>
      <x:c r="B18" t="str">
        <x:v>HOLD</x:v>
      </x:c>
      <x:c r="C18" t="n">
        <x:v>0</x:v>
      </x:c>
      <x:c r="D18" t="str">
        <x:v>Resolve before payout</x:v>
      </x:c>
      <x:c r="F18" t="str">
        <x:v>100%-119.99%</x:v>
      </x:c>
      <x:c r="G18" s="58" t="n">
        <x:v>600</x:v>
      </x:c>
      <x:c r="H18" t="str">
        <x:v>CAD</x:v>
      </x:c>
      <x:c r="I18" t="str">
        <x:v>Highest tier only</x:v>
      </x:c>
    </x:row>
    <x:row r="19">
      <x:c r="A19" t="str">
        <x:v>Negative revenue coded as Sale</x:v>
      </x:c>
      <x:c r="B19" t="str">
        <x:v>Review</x:v>
      </x:c>
      <x:c r="C19" t="n">
        <x:v>0</x:v>
      </x:c>
      <x:c r="D19" t="str">
        <x:v>Validate classification</x:v>
      </x:c>
      <x:c r="F19" t="str">
        <x:v>120%+</x:v>
      </x:c>
      <x:c r="G19" s="58" t="n">
        <x:v>1000</x:v>
      </x:c>
      <x:c r="H19" t="str">
        <x:v>CAD</x:v>
      </x:c>
      <x:c r="I19" t="str">
        <x:v>Highest tier only</x:v>
      </x:c>
    </x:row>
    <x:row r="20">
      <x:c r="A20" t="str">
        <x:v>Missing quota / plan</x:v>
      </x:c>
      <x:c r="B20" t="str">
        <x:v>HOLD</x:v>
      </x:c>
      <x:c r="C20" t="str"/>
      <x:c r="D20" t="str">
        <x:v>Do not assume a value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4" max="14" width="20" hidden="0" customWidth="1"/>
    <x:col min="15" max="15" width="19" hidden="0" customWidth="1"/>
    <x:col min="16" max="16" width="21" hidden="0" customWidth="1"/>
    <x:col min="17" max="17" width="20" hidden="0" customWidth="1"/>
    <x:col min="18" max="18" width="18" hidden="0" customWidth="1"/>
    <x:col min="19" max="19" width="18" hidden="0" customWidth="1"/>
    <x:col min="20" max="20" width="20" hidden="0" customWidth="1"/>
  </x:cols>
  <x:sheetData>
    <x:row r="1">
      <x:c r="A1" s="63" t="str">
        <x:v>Employee_ID</x:v>
      </x:c>
      <x:c r="B1" s="63" t="str">
        <x:v>Employee_Name</x:v>
      </x:c>
      <x:c r="C1" s="63" t="str">
        <x:v>Region</x:v>
      </x:c>
      <x:c r="D1" s="63" t="str">
        <x:v>Role</x:v>
      </x:c>
      <x:c r="E1" s="63" t="str">
        <x:v>Gross_Annual_Quota</x:v>
      </x:c>
      <x:c r="F1" s="63" t="str">
        <x:v>Nominal_Quota_In_Force</x:v>
      </x:c>
      <x:c r="G1" s="63" t="str">
        <x:v>Effective_Quota</x:v>
      </x:c>
      <x:c r="H1" s="63" t="str">
        <x:v>Quota_Hold_Months</x:v>
      </x:c>
      <x:c r="I1" s="63" t="str">
        <x:v>Effective_Dating_Reduction</x:v>
      </x:c>
      <x:c r="J1" s="63" t="str">
        <x:v>Ramp_Prorata_Reduction</x:v>
      </x:c>
      <x:c r="K1" s="63" t="str">
        <x:v>Total_Erosion</x:v>
      </x:c>
      <x:c r="L1" s="63" t="str">
        <x:v>Effective_vs_Gross</x:v>
      </x:c>
      <x:c r="N1" s="62" t="str">
        <x:v>Annual Coverage Reconciliation</x:v>
      </x:c>
    </x:row>
    <x:row r="2">
      <x:c r="A2" s="56" t="str">
        <x:v>EMP001</x:v>
      </x:c>
      <x:c r="B2" s="56" t="str">
        <x:v>Omar Farouk</x:v>
      </x:c>
      <x:c r="C2" s="56" t="str">
        <x:v>Ontario</x:v>
      </x:c>
      <x:c r="D2" s="56" t="str">
        <x:v>AE II</x:v>
      </x:c>
      <x:c r="E2" s="58" t="n">
        <x:v>1300000</x:v>
      </x:c>
      <x:c r="F2" s="58" t="n">
        <x:v>1300000</x:v>
      </x:c>
      <x:c r="G2" s="58" t="n">
        <x:v>1300000</x:v>
      </x:c>
      <x:c r="H2" s="56" t="n">
        <x:v>0</x:v>
      </x:c>
      <x:c r="I2" s="66" t="n">
        <x:f>E2-F2</x:f>
        <x:v>0</x:v>
      </x:c>
      <x:c r="J2" s="66" t="n">
        <x:f>F2-G2</x:f>
        <x:v>0</x:v>
      </x:c>
      <x:c r="K2" s="66" t="n">
        <x:f>E2-G2</x:f>
        <x:v>0</x:v>
      </x:c>
      <x:c r="L2" s="68" t="n">
        <x:f>IF(E2=0,0,G2/E2)</x:f>
        <x:v>1</x:v>
      </x:c>
    </x:row>
    <x:row r="3">
      <x:c r="A3" s="56" t="str">
        <x:v>EMP002</x:v>
      </x:c>
      <x:c r="B3" s="56" t="str">
        <x:v>Noah Patel</x:v>
      </x:c>
      <x:c r="C3" s="56" t="str">
        <x:v>Ontario</x:v>
      </x:c>
      <x:c r="D3" s="56" t="str">
        <x:v>AE I</x:v>
      </x:c>
      <x:c r="E3" s="58" t="n">
        <x:v>1060000</x:v>
      </x:c>
      <x:c r="F3" s="58" t="n">
        <x:v>1060000</x:v>
      </x:c>
      <x:c r="G3" s="58" t="n">
        <x:v>1060000</x:v>
      </x:c>
      <x:c r="H3" s="56" t="n">
        <x:v>0</x:v>
      </x:c>
      <x:c r="I3" s="66" t="n">
        <x:f>E3-F3</x:f>
        <x:v>0</x:v>
      </x:c>
      <x:c r="J3" s="66" t="n">
        <x:f>F3-G3</x:f>
        <x:v>0</x:v>
      </x:c>
      <x:c r="K3" s="66" t="n">
        <x:f>E3-G3</x:f>
        <x:v>0</x:v>
      </x:c>
      <x:c r="L3" s="68" t="n">
        <x:f>IF(E3=0,0,G3/E3)</x:f>
        <x:v>1</x:v>
      </x:c>
      <x:c r="N3" s="13" t="str">
        <x:v>Metric</x:v>
      </x:c>
      <x:c r="O3" s="13" t="str">
        <x:v>Value</x:v>
      </x:c>
      <x:c r="P3" s="13" t="str">
        <x:v>Coverage / Gap</x:v>
      </x:c>
      <x:c r="Q3" s="13" t="str">
        <x:v>Interpretation</x:v>
      </x:c>
    </x:row>
    <x:row r="4">
      <x:c r="A4" s="56" t="str">
        <x:v>EMP003</x:v>
      </x:c>
      <x:c r="B4" s="56" t="str">
        <x:v>Olivia Martin</x:v>
      </x:c>
      <x:c r="C4" s="56" t="str">
        <x:v>Ontario</x:v>
      </x:c>
      <x:c r="D4" s="56" t="str">
        <x:v>AE I</x:v>
      </x:c>
      <x:c r="E4" s="58" t="n">
        <x:v>930000</x:v>
      </x:c>
      <x:c r="F4" s="58" t="n">
        <x:v>930000</x:v>
      </x:c>
      <x:c r="G4" s="58" t="n">
        <x:v>930000</x:v>
      </x:c>
      <x:c r="H4" s="56" t="n">
        <x:v>0</x:v>
      </x:c>
      <x:c r="I4" s="66" t="n">
        <x:f>E4-F4</x:f>
        <x:v>0</x:v>
      </x:c>
      <x:c r="J4" s="66" t="n">
        <x:f>F4-G4</x:f>
        <x:v>0</x:v>
      </x:c>
      <x:c r="K4" s="66" t="n">
        <x:f>E4-G4</x:f>
        <x:v>0</x:v>
      </x:c>
      <x:c r="L4" s="68" t="n">
        <x:f>IF(E4=0,0,G4/E4)</x:f>
        <x:v>1</x:v>
      </x:c>
      <x:c r="N4" t="str">
        <x:v>Finance Plan</x:v>
      </x:c>
      <x:c r="O4" s="66" t="n">
        <x:v>60000000</x:v>
      </x:c>
      <x:c r="P4"/>
      <x:c r="Q4" t="str">
        <x:v>Finance denominator</x:v>
      </x:c>
    </x:row>
    <x:row r="5">
      <x:c r="A5" s="56" t="str">
        <x:v>EMP004</x:v>
      </x:c>
      <x:c r="B5" s="56" t="str">
        <x:v>Ethan Wong</x:v>
      </x:c>
      <x:c r="C5" s="56" t="str">
        <x:v>Ontario</x:v>
      </x:c>
      <x:c r="D5" s="56" t="str">
        <x:v>AE I</x:v>
      </x:c>
      <x:c r="E5" s="58" t="n">
        <x:v>1010000</x:v>
      </x:c>
      <x:c r="F5" s="58" t="n">
        <x:v>1010000</x:v>
      </x:c>
      <x:c r="G5" s="58" t="n">
        <x:v>1010000</x:v>
      </x:c>
      <x:c r="H5" s="56" t="n">
        <x:v>0</x:v>
      </x:c>
      <x:c r="I5" s="66" t="n">
        <x:f>E5-F5</x:f>
        <x:v>0</x:v>
      </x:c>
      <x:c r="J5" s="66" t="n">
        <x:f>F5-G5</x:f>
        <x:v>0</x:v>
      </x:c>
      <x:c r="K5" s="66" t="n">
        <x:f>E5-G5</x:f>
        <x:v>0</x:v>
      </x:c>
      <x:c r="L5" s="68" t="n">
        <x:f>IF(E5=0,0,G5/E5)</x:f>
        <x:v>1</x:v>
      </x:c>
      <x:c r="N5" t="str">
        <x:v>Gross Quota Book</x:v>
      </x:c>
      <x:c r="O5" s="66" t="n">
        <x:v>63000000</x:v>
      </x:c>
      <x:c r="P5"/>
      <x:c r="Q5" t="str">
        <x:v>Approved planning book</x:v>
      </x:c>
    </x:row>
    <x:row r="6">
      <x:c r="A6" s="56" t="str">
        <x:v>EMP005</x:v>
      </x:c>
      <x:c r="B6" s="56" t="str">
        <x:v>Sofia Rossi</x:v>
      </x:c>
      <x:c r="C6" s="56" t="str">
        <x:v>Ontario</x:v>
      </x:c>
      <x:c r="D6" s="56" t="str">
        <x:v>AE I</x:v>
      </x:c>
      <x:c r="E6" s="58" t="n">
        <x:v>1030000</x:v>
      </x:c>
      <x:c r="F6" s="58" t="n">
        <x:v>1030000</x:v>
      </x:c>
      <x:c r="G6" s="58" t="n">
        <x:v>1030000</x:v>
      </x:c>
      <x:c r="H6" s="56" t="n">
        <x:v>0</x:v>
      </x:c>
      <x:c r="I6" s="66" t="n">
        <x:f>E6-F6</x:f>
        <x:v>0</x:v>
      </x:c>
      <x:c r="J6" s="66" t="n">
        <x:f>F6-G6</x:f>
        <x:v>0</x:v>
      </x:c>
      <x:c r="K6" s="66" t="n">
        <x:f>E6-G6</x:f>
        <x:v>0</x:v>
      </x:c>
      <x:c r="L6" s="68" t="n">
        <x:f>IF(E6=0,0,G6/E6)</x:f>
        <x:v>1</x:v>
      </x:c>
      <x:c r="N6" t="str">
        <x:v>Gross Coverage</x:v>
      </x:c>
      <x:c r="O6" s="68" t="n">
        <x:f>O5/O4</x:f>
        <x:v>1.05</x:v>
      </x:c>
      <x:c r="P6"/>
      <x:c r="Q6" t="str">
        <x:v>Planning buffer</x:v>
      </x:c>
    </x:row>
    <x:row r="7">
      <x:c r="A7" s="56" t="str">
        <x:v>EMP006</x:v>
      </x:c>
      <x:c r="B7" s="56" t="str">
        <x:v>Liam Thompson</x:v>
      </x:c>
      <x:c r="C7" s="56" t="str">
        <x:v>Ontario</x:v>
      </x:c>
      <x:c r="D7" s="56" t="str">
        <x:v>AE I</x:v>
      </x:c>
      <x:c r="E7" s="58" t="n">
        <x:v>1060000</x:v>
      </x:c>
      <x:c r="F7" s="58" t="n">
        <x:v>1060000</x:v>
      </x:c>
      <x:c r="G7" s="58" t="n">
        <x:v>1060000</x:v>
      </x:c>
      <x:c r="H7" s="56" t="n">
        <x:v>0</x:v>
      </x:c>
      <x:c r="I7" s="66" t="n">
        <x:f>E7-F7</x:f>
        <x:v>0</x:v>
      </x:c>
      <x:c r="J7" s="66" t="n">
        <x:f>F7-G7</x:f>
        <x:v>0</x:v>
      </x:c>
      <x:c r="K7" s="66" t="n">
        <x:f>E7-G7</x:f>
        <x:v>0</x:v>
      </x:c>
      <x:c r="L7" s="68" t="n">
        <x:f>IF(E7=0,0,G7/E7)</x:f>
        <x:v>1</x:v>
      </x:c>
      <x:c r="N7" t="str">
        <x:v>Nominal Quota In Force</x:v>
      </x:c>
      <x:c r="O7" s="66" t="n">
        <x:f>SUM(F2:F49)</x:f>
        <x:v>58922500</x:v>
      </x:c>
      <x:c r="P7"/>
      <x:c r="Q7" t="str">
        <x:v>After effective dates</x:v>
      </x:c>
    </x:row>
    <x:row r="8">
      <x:c r="A8" s="56" t="str">
        <x:v>EMP007</x:v>
      </x:c>
      <x:c r="B8" s="56" t="str">
        <x:v>Ava Singh</x:v>
      </x:c>
      <x:c r="C8" s="56" t="str">
        <x:v>Ontario</x:v>
      </x:c>
      <x:c r="D8" s="56" t="str">
        <x:v>AE II</x:v>
      </x:c>
      <x:c r="E8" s="58" t="n">
        <x:v>1320000</x:v>
      </x:c>
      <x:c r="F8" s="58" t="n">
        <x:v>1320000</x:v>
      </x:c>
      <x:c r="G8" s="58" t="n">
        <x:v>1320000</x:v>
      </x:c>
      <x:c r="H8" s="56" t="n">
        <x:v>0</x:v>
      </x:c>
      <x:c r="I8" s="66" t="n">
        <x:f>E8-F8</x:f>
        <x:v>0</x:v>
      </x:c>
      <x:c r="J8" s="66" t="n">
        <x:f>F8-G8</x:f>
        <x:v>0</x:v>
      </x:c>
      <x:c r="K8" s="66" t="n">
        <x:f>E8-G8</x:f>
        <x:v>0</x:v>
      </x:c>
      <x:c r="L8" s="68" t="n">
        <x:f>IF(E8=0,0,G8/E8)</x:f>
        <x:v>1</x:v>
      </x:c>
      <x:c r="N8" t="str">
        <x:v>Effective Operational Quota</x:v>
      </x:c>
      <x:c r="O8" s="66" t="n">
        <x:f>SUM(G2:G49)</x:f>
        <x:v>58393775.64516129</x:v>
      </x:c>
      <x:c r="P8"/>
      <x:c r="Q8" t="str">
        <x:v>After ramp/proration</x:v>
      </x:c>
    </x:row>
    <x:row r="9">
      <x:c r="A9" s="56" t="str">
        <x:v>EMP008</x:v>
      </x:c>
      <x:c r="B9" s="56" t="str">
        <x:v>Lucas Ferreira</x:v>
      </x:c>
      <x:c r="C9" s="56" t="str">
        <x:v>Ontario</x:v>
      </x:c>
      <x:c r="D9" s="56" t="str">
        <x:v>AE II</x:v>
      </x:c>
      <x:c r="E9" s="58" t="n">
        <x:v>1240000</x:v>
      </x:c>
      <x:c r="F9" s="58" t="n">
        <x:v>1240000</x:v>
      </x:c>
      <x:c r="G9" s="58" t="n">
        <x:v>1240000</x:v>
      </x:c>
      <x:c r="H9" s="56" t="n">
        <x:v>0</x:v>
      </x:c>
      <x:c r="I9" s="66" t="n">
        <x:f>E9-F9</x:f>
        <x:v>0</x:v>
      </x:c>
      <x:c r="J9" s="66" t="n">
        <x:f>F9-G9</x:f>
        <x:v>0</x:v>
      </x:c>
      <x:c r="K9" s="66" t="n">
        <x:f>E9-G9</x:f>
        <x:v>0</x:v>
      </x:c>
      <x:c r="L9" s="68" t="n">
        <x:f>IF(E9=0,0,G9/E9)</x:f>
        <x:v>1</x:v>
      </x:c>
      <x:c r="N9" t="str">
        <x:v>Effective Coverage</x:v>
      </x:c>
      <x:c r="O9" s="68" t="n">
        <x:f>O8/O4</x:f>
        <x:v>0.9732295940860216</x:v>
      </x:c>
      <x:c r="P9"/>
      <x:c r="Q9" t="str">
        <x:v>Effective quota ÷ Finance plan</x:v>
      </x:c>
    </x:row>
    <x:row r="10">
      <x:c r="A10" s="56" t="str">
        <x:v>EMP009</x:v>
      </x:c>
      <x:c r="B10" s="56" t="str">
        <x:v>Emma Brooks</x:v>
      </x:c>
      <x:c r="C10" s="56" t="str">
        <x:v>Ontario</x:v>
      </x:c>
      <x:c r="D10" s="56" t="str">
        <x:v>AE II</x:v>
      </x:c>
      <x:c r="E10" s="58" t="n">
        <x:v>1230000</x:v>
      </x:c>
      <x:c r="F10" s="58" t="n">
        <x:v>1230000</x:v>
      </x:c>
      <x:c r="G10" s="58" t="n">
        <x:v>1230000</x:v>
      </x:c>
      <x:c r="H10" s="56" t="n">
        <x:v>0</x:v>
      </x:c>
      <x:c r="I10" s="66" t="n">
        <x:f>E10-F10</x:f>
        <x:v>0</x:v>
      </x:c>
      <x:c r="J10" s="66" t="n">
        <x:f>F10-G10</x:f>
        <x:v>0</x:v>
      </x:c>
      <x:c r="K10" s="66" t="n">
        <x:f>E10-G10</x:f>
        <x:v>0</x:v>
      </x:c>
      <x:c r="L10" s="68" t="n">
        <x:f>IF(E10=0,0,G10/E10)</x:f>
        <x:v>1</x:v>
      </x:c>
      <x:c r="N10" t="str">
        <x:v>Gross-to-Effective Erosion</x:v>
      </x:c>
      <x:c r="O10" s="66" t="n">
        <x:f>O5-O8</x:f>
        <x:v>4606224.354838707</x:v>
      </x:c>
      <x:c r="P10"/>
      <x:c r="Q10" t="str">
        <x:v>Buffer consumed before performance</x:v>
      </x:c>
    </x:row>
    <x:row r="11">
      <x:c r="A11" s="56" t="str">
        <x:v>EMP010</x:v>
      </x:c>
      <x:c r="B11" s="56" t="str">
        <x:v>Ryan Kim</x:v>
      </x:c>
      <x:c r="C11" s="56" t="str">
        <x:v>Ontario</x:v>
      </x:c>
      <x:c r="D11" s="56" t="str">
        <x:v>Senior AE</x:v>
      </x:c>
      <x:c r="E11" s="58" t="n">
        <x:v>1860000</x:v>
      </x:c>
      <x:c r="F11" s="58" t="n">
        <x:v>1860000</x:v>
      </x:c>
      <x:c r="G11" s="58" t="n">
        <x:v>1860000</x:v>
      </x:c>
      <x:c r="H11" s="56" t="n">
        <x:v>0</x:v>
      </x:c>
      <x:c r="I11" s="66" t="n">
        <x:f>E11-F11</x:f>
        <x:v>0</x:v>
      </x:c>
      <x:c r="J11" s="66" t="n">
        <x:f>F11-G11</x:f>
        <x:v>0</x:v>
      </x:c>
      <x:c r="K11" s="66" t="n">
        <x:f>E11-G11</x:f>
        <x:v>0</x:v>
      </x:c>
      <x:c r="L11" s="68" t="n">
        <x:f>IF(E11=0,0,G11/E11)</x:f>
        <x:v>1</x:v>
      </x:c>
    </x:row>
    <x:row r="12">
      <x:c r="A12" s="56" t="str">
        <x:v>EMP011</x:v>
      </x:c>
      <x:c r="B12" s="56" t="str">
        <x:v>Chloe Nguyen</x:v>
      </x:c>
      <x:c r="C12" s="56" t="str">
        <x:v>Ontario</x:v>
      </x:c>
      <x:c r="D12" s="56" t="str">
        <x:v>Senior AE</x:v>
      </x:c>
      <x:c r="E12" s="58" t="n">
        <x:v>1840000</x:v>
      </x:c>
      <x:c r="F12" s="58" t="n">
        <x:v>846400</x:v>
      </x:c>
      <x:c r="G12" s="58" t="n">
        <x:v>700683.8709677419</x:v>
      </x:c>
      <x:c r="H12" s="56" t="n">
        <x:v>0</x:v>
      </x:c>
      <x:c r="I12" s="66" t="n">
        <x:f>E12-F12</x:f>
        <x:v>993600</x:v>
      </x:c>
      <x:c r="J12" s="66" t="n">
        <x:f>F12-G12</x:f>
        <x:v>145716.12903225806</x:v>
      </x:c>
      <x:c r="K12" s="66" t="n">
        <x:f>E12-G12</x:f>
        <x:v>1139316.129032258</x:v>
      </x:c>
      <x:c r="L12" s="68" t="n">
        <x:f>IF(E12=0,0,G12/E12)</x:f>
        <x:v>0.3808064516129032</x:v>
      </x:c>
    </x:row>
    <x:row r="13">
      <x:c r="A13" s="56" t="str">
        <x:v>EMP012</x:v>
      </x:c>
      <x:c r="B13" s="56" t="str">
        <x:v>Nathan Clarke</x:v>
      </x:c>
      <x:c r="C13" s="56" t="str">
        <x:v>Ontario</x:v>
      </x:c>
      <x:c r="D13" s="56" t="str">
        <x:v>Senior AE</x:v>
      </x:c>
      <x:c r="E13" s="58" t="n">
        <x:v>1870000</x:v>
      </x:c>
      <x:c r="F13" s="58" t="n">
        <x:v>1870000</x:v>
      </x:c>
      <x:c r="G13" s="58" t="n">
        <x:v>1870000</x:v>
      </x:c>
      <x:c r="H13" s="56" t="n">
        <x:v>0</x:v>
      </x:c>
      <x:c r="I13" s="66" t="n">
        <x:f>E13-F13</x:f>
        <x:v>0</x:v>
      </x:c>
      <x:c r="J13" s="66" t="n">
        <x:f>F13-G13</x:f>
        <x:v>0</x:v>
      </x:c>
      <x:c r="K13" s="66" t="n">
        <x:f>E13-G13</x:f>
        <x:v>0</x:v>
      </x:c>
      <x:c r="L13" s="68" t="n">
        <x:f>IF(E13=0,0,G13/E13)</x:f>
        <x:v>1</x:v>
      </x:c>
      <x:c r="N13" s="13" t="str">
        <x:v>Region</x:v>
      </x:c>
      <x:c r="O13" s="13" t="str">
        <x:v>Gross Quota</x:v>
      </x:c>
      <x:c r="P13" s="13" t="str">
        <x:v>Implied Finance Plan</x:v>
      </x:c>
      <x:c r="Q13" s="13" t="str">
        <x:v>Nominal In Force</x:v>
      </x:c>
      <x:c r="R13" s="13" t="str">
        <x:v>Effective Quota</x:v>
      </x:c>
      <x:c r="S13" s="13" t="str">
        <x:v>Effective Coverage</x:v>
      </x:c>
      <x:c r="T13" s="13" t="str">
        <x:v>Gap vs Plan</x:v>
      </x:c>
    </x:row>
    <x:row r="14">
      <x:c r="A14" s="56" t="str">
        <x:v>EMP013</x:v>
      </x:c>
      <x:c r="B14" s="56" t="str">
        <x:v>Camille Bouchard</x:v>
      </x:c>
      <x:c r="C14" s="56" t="str">
        <x:v>Quebec</x:v>
      </x:c>
      <x:c r="D14" s="56" t="str">
        <x:v>AE I</x:v>
      </x:c>
      <x:c r="E14" s="58" t="n">
        <x:v>1000000</x:v>
      </x:c>
      <x:c r="F14" s="58" t="n">
        <x:v>1000000</x:v>
      </x:c>
      <x:c r="G14" s="58" t="n">
        <x:v>1000000</x:v>
      </x:c>
      <x:c r="H14" s="56" t="n">
        <x:v>0</x:v>
      </x:c>
      <x:c r="I14" s="66" t="n">
        <x:f>E14-F14</x:f>
        <x:v>0</x:v>
      </x:c>
      <x:c r="J14" s="66" t="n">
        <x:f>F14-G14</x:f>
        <x:v>0</x:v>
      </x:c>
      <x:c r="K14" s="66" t="n">
        <x:f>E14-G14</x:f>
        <x:v>0</x:v>
      </x:c>
      <x:c r="L14" s="68" t="n">
        <x:f>IF(E14=0,0,G14/E14)</x:f>
        <x:v>1</x:v>
      </x:c>
      <x:c r="N14" t="str">
        <x:v>Ontario</x:v>
      </x:c>
      <x:c r="O14" s="66" t="n">
        <x:f>SUMIF($C$2:$C$49,N14,$E$2:$E$49)</x:f>
        <x:v>15750000</x:v>
      </x:c>
      <x:c r="P14" s="66" t="n">
        <x:f>O14/1.05</x:f>
        <x:v>15000000</x:v>
      </x:c>
      <x:c r="Q14" s="66" t="n">
        <x:f>SUMIF($C$2:$C$49,N14,$F$2:$F$49)</x:f>
        <x:v>14756400</x:v>
      </x:c>
      <x:c r="R14" s="66" t="n">
        <x:f>SUMIF($C$2:$C$49,N14,$G$2:$G$49)</x:f>
        <x:v>14610683.870967742</x:v>
      </x:c>
      <x:c r="S14" s="68" t="n">
        <x:f>R14/P14</x:f>
        <x:v>0.9740455913978495</x:v>
      </x:c>
      <x:c r="T14" s="66" t="n">
        <x:f>R14-P14</x:f>
        <x:v>-389316.12903225794</x:v>
      </x:c>
    </x:row>
    <x:row r="15">
      <x:c r="A15" s="56" t="str">
        <x:v>EMP014</x:v>
      </x:c>
      <x:c r="B15" s="56" t="str">
        <x:v>Félix Roy</x:v>
      </x:c>
      <x:c r="C15" s="56" t="str">
        <x:v>Quebec</x:v>
      </x:c>
      <x:c r="D15" s="56" t="str">
        <x:v>AE I</x:v>
      </x:c>
      <x:c r="E15" s="58" t="n">
        <x:v>1030000</x:v>
      </x:c>
      <x:c r="F15" s="58" t="n">
        <x:v>1030000</x:v>
      </x:c>
      <x:c r="G15" s="58" t="n">
        <x:v>1030000</x:v>
      </x:c>
      <x:c r="H15" s="56" t="n">
        <x:v>0</x:v>
      </x:c>
      <x:c r="I15" s="66" t="n">
        <x:f>E15-F15</x:f>
        <x:v>0</x:v>
      </x:c>
      <x:c r="J15" s="66" t="n">
        <x:f>F15-G15</x:f>
        <x:v>0</x:v>
      </x:c>
      <x:c r="K15" s="66" t="n">
        <x:f>E15-G15</x:f>
        <x:v>0</x:v>
      </x:c>
      <x:c r="L15" s="68" t="n">
        <x:f>IF(E15=0,0,G15/E15)</x:f>
        <x:v>1</x:v>
      </x:c>
      <x:c r="N15" t="str">
        <x:v>Quebec</x:v>
      </x:c>
      <x:c r="O15" s="66" t="n">
        <x:f>SUMIF($C$2:$C$49,N15,$E$2:$E$49)</x:f>
        <x:v>15980000</x:v>
      </x:c>
      <x:c r="P15" s="66" t="n">
        <x:f>O15/1.05</x:f>
        <x:v>15219047.619047618</x:v>
      </x:c>
      <x:c r="Q15" s="66" t="n">
        <x:f>SUMIF($C$2:$C$49,N15,$F$2:$F$49)</x:f>
        <x:v>15568600</x:v>
      </x:c>
      <x:c r="R15" s="66" t="n">
        <x:f>SUMIF($C$2:$C$49,N15,$G$2:$G$49)</x:f>
        <x:v>15531200</x:v>
      </x:c>
      <x:c r="S15" s="68" t="n">
        <x:f>R15/P15</x:f>
        <x:v>1.0205106382978724</x:v>
      </x:c>
      <x:c r="T15" s="66" t="n">
        <x:f>R15-P15</x:f>
        <x:v>312152.38095238246</x:v>
      </x:c>
    </x:row>
    <x:row r="16">
      <x:c r="A16" s="56" t="str">
        <x:v>EMP015</x:v>
      </x:c>
      <x:c r="B16" s="56" t="str">
        <x:v>Léa Gauthier</x:v>
      </x:c>
      <x:c r="C16" s="56" t="str">
        <x:v>Quebec</x:v>
      </x:c>
      <x:c r="D16" s="56" t="str">
        <x:v>AE I</x:v>
      </x:c>
      <x:c r="E16" s="58" t="n">
        <x:v>930000</x:v>
      </x:c>
      <x:c r="F16" s="58" t="n">
        <x:v>930000</x:v>
      </x:c>
      <x:c r="G16" s="58" t="n">
        <x:v>930000</x:v>
      </x:c>
      <x:c r="H16" s="56" t="n">
        <x:v>0</x:v>
      </x:c>
      <x:c r="I16" s="66" t="n">
        <x:f>E16-F16</x:f>
        <x:v>0</x:v>
      </x:c>
      <x:c r="J16" s="66" t="n">
        <x:f>F16-G16</x:f>
        <x:v>0</x:v>
      </x:c>
      <x:c r="K16" s="66" t="n">
        <x:f>E16-G16</x:f>
        <x:v>0</x:v>
      </x:c>
      <x:c r="L16" s="68" t="n">
        <x:f>IF(E16=0,0,G16/E16)</x:f>
        <x:v>1</x:v>
      </x:c>
      <x:c r="N16" t="str">
        <x:v>West</x:v>
      </x:c>
      <x:c r="O16" s="66" t="n">
        <x:f>SUMIF($C$2:$C$49,N16,$E$2:$E$49)</x:f>
        <x:v>16440000</x:v>
      </x:c>
      <x:c r="P16" s="66" t="n">
        <x:f>O16/1.05</x:f>
        <x:v>15657142.857142856</x:v>
      </x:c>
      <x:c r="Q16" s="66" t="n">
        <x:f>SUMIF($C$2:$C$49,N16,$F$2:$F$49)</x:f>
        <x:v>15592700</x:v>
      </x:c>
      <x:c r="R16" s="66" t="n">
        <x:f>SUMIF($C$2:$C$49,N16,$G$2:$G$49)</x:f>
        <x:v>15411395</x:v>
      </x:c>
      <x:c r="S16" s="68" t="n">
        <x:f>R16/P16</x:f>
        <x:v>0.9843044251824818</x:v>
      </x:c>
      <x:c r="T16" s="66" t="n">
        <x:f>R16-P16</x:f>
        <x:v>-245747.85714285634</x:v>
      </x:c>
    </x:row>
    <x:row r="17">
      <x:c r="A17" s="56" t="str">
        <x:v>EMP016</x:v>
      </x:c>
      <x:c r="B17" s="56" t="str">
        <x:v>Thomas Nguyen</x:v>
      </x:c>
      <x:c r="C17" s="56" t="str">
        <x:v>Quebec</x:v>
      </x:c>
      <x:c r="D17" s="56" t="str">
        <x:v>AE I</x:v>
      </x:c>
      <x:c r="E17" s="58" t="n">
        <x:v>1050000</x:v>
      </x:c>
      <x:c r="F17" s="58" t="n">
        <x:v>1050000</x:v>
      </x:c>
      <x:c r="G17" s="58" t="n">
        <x:v>1050000</x:v>
      </x:c>
      <x:c r="H17" s="56" t="n">
        <x:v>0</x:v>
      </x:c>
      <x:c r="I17" s="66" t="n">
        <x:f>E17-F17</x:f>
        <x:v>0</x:v>
      </x:c>
      <x:c r="J17" s="66" t="n">
        <x:f>F17-G17</x:f>
        <x:v>0</x:v>
      </x:c>
      <x:c r="K17" s="66" t="n">
        <x:f>E17-G17</x:f>
        <x:v>0</x:v>
      </x:c>
      <x:c r="L17" s="68" t="n">
        <x:f>IF(E17=0,0,G17/E17)</x:f>
        <x:v>1</x:v>
      </x:c>
      <x:c r="N17" t="str">
        <x:v>Atlantic</x:v>
      </x:c>
      <x:c r="O17" s="66" t="n">
        <x:f>SUMIF($C$2:$C$49,N17,$E$2:$E$49)</x:f>
        <x:v>14830000</x:v>
      </x:c>
      <x:c r="P17" s="66" t="n">
        <x:f>O17/1.05</x:f>
        <x:v>14123809.523809522</x:v>
      </x:c>
      <x:c r="Q17" s="66" t="n">
        <x:f>SUMIF($C$2:$C$49,N17,$F$2:$F$49)</x:f>
        <x:v>13004800</x:v>
      </x:c>
      <x:c r="R17" s="66" t="n">
        <x:f>SUMIF($C$2:$C$49,N17,$G$2:$G$49)</x:f>
        <x:v>12840496.774193548</x:v>
      </x:c>
      <x:c r="S17" s="68" t="n">
        <x:f>R17/P17</x:f>
        <x:v>0.9091383420703457</x:v>
      </x:c>
      <x:c r="T17" s="66" t="n">
        <x:f>R17-P17</x:f>
        <x:v>-1283312.7496159747</x:v>
      </x:c>
    </x:row>
    <x:row r="18">
      <x:c r="A18" s="56" t="str">
        <x:v>EMP017</x:v>
      </x:c>
      <x:c r="B18" s="56" t="str">
        <x:v>Sarah Cohen</x:v>
      </x:c>
      <x:c r="C18" s="56" t="str">
        <x:v>Quebec</x:v>
      </x:c>
      <x:c r="D18" s="56" t="str">
        <x:v>AE II</x:v>
      </x:c>
      <x:c r="E18" s="58" t="n">
        <x:v>1240000</x:v>
      </x:c>
      <x:c r="F18" s="58" t="n">
        <x:v>1240000</x:v>
      </x:c>
      <x:c r="G18" s="58" t="n">
        <x:v>1240000</x:v>
      </x:c>
      <x:c r="H18" s="56" t="n">
        <x:v>0</x:v>
      </x:c>
      <x:c r="I18" s="66" t="n">
        <x:f>E18-F18</x:f>
        <x:v>0</x:v>
      </x:c>
      <x:c r="J18" s="66" t="n">
        <x:f>F18-G18</x:f>
        <x:v>0</x:v>
      </x:c>
      <x:c r="K18" s="66" t="n">
        <x:f>E18-G18</x:f>
        <x:v>0</x:v>
      </x:c>
      <x:c r="L18" s="68" t="n">
        <x:f>IF(E18=0,0,G18/E18)</x:f>
        <x:v>1</x:v>
      </x:c>
    </x:row>
    <x:row r="19">
      <x:c r="A19" s="56" t="str">
        <x:v>EMP018</x:v>
      </x:c>
      <x:c r="B19" s="56" t="str">
        <x:v>Olivier Pelletier</x:v>
      </x:c>
      <x:c r="C19" s="56" t="str">
        <x:v>Quebec</x:v>
      </x:c>
      <x:c r="D19" s="56" t="str">
        <x:v>AE II</x:v>
      </x:c>
      <x:c r="E19" s="58" t="n">
        <x:v>1350000</x:v>
      </x:c>
      <x:c r="F19" s="58" t="n">
        <x:v>1350000</x:v>
      </x:c>
      <x:c r="G19" s="58" t="n">
        <x:v>1350000</x:v>
      </x:c>
      <x:c r="H19" s="56" t="n">
        <x:v>0</x:v>
      </x:c>
      <x:c r="I19" s="66" t="n">
        <x:f>E19-F19</x:f>
        <x:v>0</x:v>
      </x:c>
      <x:c r="J19" s="66" t="n">
        <x:f>F19-G19</x:f>
        <x:v>0</x:v>
      </x:c>
      <x:c r="K19" s="66" t="n">
        <x:f>E19-G19</x:f>
        <x:v>0</x:v>
      </x:c>
      <x:c r="L19" s="68" t="n">
        <x:f>IF(E19=0,0,G19/E19)</x:f>
        <x:v>1</x:v>
      </x:c>
    </x:row>
    <x:row r="20">
      <x:c r="A20" s="56" t="str">
        <x:v>EMP019</x:v>
      </x:c>
      <x:c r="B20" s="56" t="str">
        <x:v>Nadia Benali</x:v>
      </x:c>
      <x:c r="C20" s="56" t="str">
        <x:v>Quebec</x:v>
      </x:c>
      <x:c r="D20" s="56" t="str">
        <x:v>AE II</x:v>
      </x:c>
      <x:c r="E20" s="58" t="n">
        <x:v>1360000</x:v>
      </x:c>
      <x:c r="F20" s="58" t="n">
        <x:v>1360000</x:v>
      </x:c>
      <x:c r="G20" s="58" t="n">
        <x:v>1360000</x:v>
      </x:c>
      <x:c r="H20" s="56" t="n">
        <x:v>0</x:v>
      </x:c>
      <x:c r="I20" s="66" t="n">
        <x:f>E20-F20</x:f>
        <x:v>0</x:v>
      </x:c>
      <x:c r="J20" s="66" t="n">
        <x:f>F20-G20</x:f>
        <x:v>0</x:v>
      </x:c>
      <x:c r="K20" s="66" t="n">
        <x:f>E20-G20</x:f>
        <x:v>0</x:v>
      </x:c>
      <x:c r="L20" s="68" t="n">
        <x:f>IF(E20=0,0,G20/E20)</x:f>
        <x:v>1</x:v>
      </x:c>
    </x:row>
    <x:row r="21">
      <x:c r="A21" s="56" t="str">
        <x:v>EMP020</x:v>
      </x:c>
      <x:c r="B21" s="56" t="str">
        <x:v>Julien Caron</x:v>
      </x:c>
      <x:c r="C21" s="56" t="str">
        <x:v>Quebec</x:v>
      </x:c>
      <x:c r="D21" s="56" t="str">
        <x:v>AE II</x:v>
      </x:c>
      <x:c r="E21" s="58" t="n">
        <x:v>1280000</x:v>
      </x:c>
      <x:c r="F21" s="58" t="n">
        <x:v>1280000</x:v>
      </x:c>
      <x:c r="G21" s="58" t="n">
        <x:v>1280000</x:v>
      </x:c>
      <x:c r="H21" s="56" t="n">
        <x:v>0</x:v>
      </x:c>
      <x:c r="I21" s="66" t="n">
        <x:f>E21-F21</x:f>
        <x:v>0</x:v>
      </x:c>
      <x:c r="J21" s="66" t="n">
        <x:f>F21-G21</x:f>
        <x:v>0</x:v>
      </x:c>
      <x:c r="K21" s="66" t="n">
        <x:f>E21-G21</x:f>
        <x:v>0</x:v>
      </x:c>
      <x:c r="L21" s="68" t="n">
        <x:f>IF(E21=0,0,G21/E21)</x:f>
        <x:v>1</x:v>
      </x:c>
    </x:row>
    <x:row r="22">
      <x:c r="A22" s="56" t="str">
        <x:v>EMP021</x:v>
      </x:c>
      <x:c r="B22" s="56" t="str">
        <x:v>Émilie Fortin</x:v>
      </x:c>
      <x:c r="C22" s="56" t="str">
        <x:v>Quebec</x:v>
      </x:c>
      <x:c r="D22" s="56" t="str">
        <x:v>AE II</x:v>
      </x:c>
      <x:c r="E22" s="58" t="n">
        <x:v>1300000</x:v>
      </x:c>
      <x:c r="F22" s="58" t="n">
        <x:v>1300000</x:v>
      </x:c>
      <x:c r="G22" s="58" t="n">
        <x:v>1300000</x:v>
      </x:c>
      <x:c r="H22" s="56" t="n">
        <x:v>0</x:v>
      </x:c>
      <x:c r="I22" s="66" t="n">
        <x:f>E22-F22</x:f>
        <x:v>0</x:v>
      </x:c>
      <x:c r="J22" s="66" t="n">
        <x:f>F22-G22</x:f>
        <x:v>0</x:v>
      </x:c>
      <x:c r="K22" s="66" t="n">
        <x:f>E22-G22</x:f>
        <x:v>0</x:v>
      </x:c>
      <x:c r="L22" s="68" t="n">
        <x:f>IF(E22=0,0,G22/E22)</x:f>
        <x:v>1</x:v>
      </x:c>
    </x:row>
    <x:row r="23">
      <x:c r="A23" s="56" t="str">
        <x:v>EMP022</x:v>
      </x:c>
      <x:c r="B23" s="56" t="str">
        <x:v>Adam Haddad</x:v>
      </x:c>
      <x:c r="C23" s="56" t="str">
        <x:v>Quebec</x:v>
      </x:c>
      <x:c r="D23" s="56" t="str">
        <x:v>Senior AE</x:v>
      </x:c>
      <x:c r="E23" s="58" t="n">
        <x:v>1870000</x:v>
      </x:c>
      <x:c r="F23" s="58" t="n">
        <x:v>1458600</x:v>
      </x:c>
      <x:c r="G23" s="58" t="n">
        <x:v>1421200</x:v>
      </x:c>
      <x:c r="H23" s="56" t="n">
        <x:v>1</x:v>
      </x:c>
      <x:c r="I23" s="66" t="n">
        <x:f>E23-F23</x:f>
        <x:v>411400</x:v>
      </x:c>
      <x:c r="J23" s="66" t="n">
        <x:f>F23-G23</x:f>
        <x:v>37400</x:v>
      </x:c>
      <x:c r="K23" s="66" t="n">
        <x:f>E23-G23</x:f>
        <x:v>448800</x:v>
      </x:c>
      <x:c r="L23" s="68" t="n">
        <x:f>IF(E23=0,0,G23/E23)</x:f>
        <x:v>0.76</x:v>
      </x:c>
    </x:row>
    <x:row r="24">
      <x:c r="A24" s="56" t="str">
        <x:v>EMP023</x:v>
      </x:c>
      <x:c r="B24" s="56" t="str">
        <x:v>Maude Lavoie</x:v>
      </x:c>
      <x:c r="C24" s="56" t="str">
        <x:v>Quebec</x:v>
      </x:c>
      <x:c r="D24" s="56" t="str">
        <x:v>Senior AE</x:v>
      </x:c>
      <x:c r="E24" s="58" t="n">
        <x:v>1890000</x:v>
      </x:c>
      <x:c r="F24" s="58" t="n">
        <x:v>1890000</x:v>
      </x:c>
      <x:c r="G24" s="58" t="n">
        <x:v>1890000</x:v>
      </x:c>
      <x:c r="H24" s="56" t="n">
        <x:v>0</x:v>
      </x:c>
      <x:c r="I24" s="66" t="n">
        <x:f>E24-F24</x:f>
        <x:v>0</x:v>
      </x:c>
      <x:c r="J24" s="66" t="n">
        <x:f>F24-G24</x:f>
        <x:v>0</x:v>
      </x:c>
      <x:c r="K24" s="66" t="n">
        <x:f>E24-G24</x:f>
        <x:v>0</x:v>
      </x:c>
      <x:c r="L24" s="68" t="n">
        <x:f>IF(E24=0,0,G24/E24)</x:f>
        <x:v>1</x:v>
      </x:c>
    </x:row>
    <x:row r="25">
      <x:c r="A25" s="56" t="str">
        <x:v>EMP024</x:v>
      </x:c>
      <x:c r="B25" s="56" t="str">
        <x:v>Xavier Dubois</x:v>
      </x:c>
      <x:c r="C25" s="56" t="str">
        <x:v>Quebec</x:v>
      </x:c>
      <x:c r="D25" s="56" t="str">
        <x:v>Senior AE</x:v>
      </x:c>
      <x:c r="E25" s="58" t="n">
        <x:v>1680000</x:v>
      </x:c>
      <x:c r="F25" s="58" t="n">
        <x:v>1680000</x:v>
      </x:c>
      <x:c r="G25" s="58" t="n">
        <x:v>1680000</x:v>
      </x:c>
      <x:c r="H25" s="56" t="n">
        <x:v>0</x:v>
      </x:c>
      <x:c r="I25" s="66" t="n">
        <x:f>E25-F25</x:f>
        <x:v>0</x:v>
      </x:c>
      <x:c r="J25" s="66" t="n">
        <x:f>F25-G25</x:f>
        <x:v>0</x:v>
      </x:c>
      <x:c r="K25" s="66" t="n">
        <x:f>E25-G25</x:f>
        <x:v>0</x:v>
      </x:c>
      <x:c r="L25" s="68" t="n">
        <x:f>IF(E25=0,0,G25/E25)</x:f>
        <x:v>1</x:v>
      </x:c>
    </x:row>
    <x:row r="26">
      <x:c r="A26" s="56" t="str">
        <x:v>EMP025</x:v>
      </x:c>
      <x:c r="B26" s="56" t="str">
        <x:v>Arjun Mehta</x:v>
      </x:c>
      <x:c r="C26" s="56" t="str">
        <x:v>West</x:v>
      </x:c>
      <x:c r="D26" s="56" t="str">
        <x:v>AE I</x:v>
      </x:c>
      <x:c r="E26" s="58" t="n">
        <x:v>1050000</x:v>
      </x:c>
      <x:c r="F26" s="58" t="n">
        <x:v>1050000</x:v>
      </x:c>
      <x:c r="G26" s="58" t="n">
        <x:v>1050000</x:v>
      </x:c>
      <x:c r="H26" s="56" t="n">
        <x:v>0</x:v>
      </x:c>
      <x:c r="I26" s="66" t="n">
        <x:f>E26-F26</x:f>
        <x:v>0</x:v>
      </x:c>
      <x:c r="J26" s="66" t="n">
        <x:f>F26-G26</x:f>
        <x:v>0</x:v>
      </x:c>
      <x:c r="K26" s="66" t="n">
        <x:f>E26-G26</x:f>
        <x:v>0</x:v>
      </x:c>
      <x:c r="L26" s="68" t="n">
        <x:f>IF(E26=0,0,G26/E26)</x:f>
        <x:v>1</x:v>
      </x:c>
    </x:row>
    <x:row r="27">
      <x:c r="A27" s="56" t="str">
        <x:v>EMP026</x:v>
      </x:c>
      <x:c r="B27" s="56" t="str">
        <x:v>Grace Park</x:v>
      </x:c>
      <x:c r="C27" s="56" t="str">
        <x:v>West</x:v>
      </x:c>
      <x:c r="D27" s="56" t="str">
        <x:v>AE I</x:v>
      </x:c>
      <x:c r="E27" s="58" t="n">
        <x:v>990000</x:v>
      </x:c>
      <x:c r="F27" s="58" t="n">
        <x:v>990000</x:v>
      </x:c>
      <x:c r="G27" s="58" t="n">
        <x:v>990000</x:v>
      </x:c>
      <x:c r="H27" s="56" t="n">
        <x:v>0</x:v>
      </x:c>
      <x:c r="I27" s="66" t="n">
        <x:f>E27-F27</x:f>
        <x:v>0</x:v>
      </x:c>
      <x:c r="J27" s="66" t="n">
        <x:f>F27-G27</x:f>
        <x:v>0</x:v>
      </x:c>
      <x:c r="K27" s="66" t="n">
        <x:f>E27-G27</x:f>
        <x:v>0</x:v>
      </x:c>
      <x:c r="L27" s="68" t="n">
        <x:f>IF(E27=0,0,G27/E27)</x:f>
        <x:v>1</x:v>
      </x:c>
    </x:row>
    <x:row r="28">
      <x:c r="A28" s="56" t="str">
        <x:v>EMP027</x:v>
      </x:c>
      <x:c r="B28" s="56" t="str">
        <x:v>Dylan Campbell</x:v>
      </x:c>
      <x:c r="C28" s="56" t="str">
        <x:v>West</x:v>
      </x:c>
      <x:c r="D28" s="56" t="str">
        <x:v>AE I</x:v>
      </x:c>
      <x:c r="E28" s="58" t="n">
        <x:v>1070000</x:v>
      </x:c>
      <x:c r="F28" s="58" t="n">
        <x:v>1070000</x:v>
      </x:c>
      <x:c r="G28" s="58" t="n">
        <x:v>1070000</x:v>
      </x:c>
      <x:c r="H28" s="56" t="n">
        <x:v>0</x:v>
      </x:c>
      <x:c r="I28" s="66" t="n">
        <x:f>E28-F28</x:f>
        <x:v>0</x:v>
      </x:c>
      <x:c r="J28" s="66" t="n">
        <x:f>F28-G28</x:f>
        <x:v>0</x:v>
      </x:c>
      <x:c r="K28" s="66" t="n">
        <x:f>E28-G28</x:f>
        <x:v>0</x:v>
      </x:c>
      <x:c r="L28" s="68" t="n">
        <x:f>IF(E28=0,0,G28/E28)</x:f>
        <x:v>1</x:v>
      </x:c>
    </x:row>
    <x:row r="29">
      <x:c r="A29" s="56" t="str">
        <x:v>EMP028</x:v>
      </x:c>
      <x:c r="B29" s="56" t="str">
        <x:v>Hannah Li</x:v>
      </x:c>
      <x:c r="C29" s="56" t="str">
        <x:v>West</x:v>
      </x:c>
      <x:c r="D29" s="56" t="str">
        <x:v>AE I</x:v>
      </x:c>
      <x:c r="E29" s="58" t="n">
        <x:v>950000</x:v>
      </x:c>
      <x:c r="F29" s="58" t="n">
        <x:v>950000</x:v>
      </x:c>
      <x:c r="G29" s="58" t="n">
        <x:v>950000</x:v>
      </x:c>
      <x:c r="H29" s="56" t="n">
        <x:v>0</x:v>
      </x:c>
      <x:c r="I29" s="66" t="n">
        <x:f>E29-F29</x:f>
        <x:v>0</x:v>
      </x:c>
      <x:c r="J29" s="66" t="n">
        <x:f>F29-G29</x:f>
        <x:v>0</x:v>
      </x:c>
      <x:c r="K29" s="66" t="n">
        <x:f>E29-G29</x:f>
        <x:v>0</x:v>
      </x:c>
      <x:c r="L29" s="68" t="n">
        <x:f>IF(E29=0,0,G29/E29)</x:f>
        <x:v>1</x:v>
      </x:c>
    </x:row>
    <x:row r="30">
      <x:c r="A30" s="56" t="str">
        <x:v>EMP029</x:v>
      </x:c>
      <x:c r="B30" s="56" t="str">
        <x:v>Maya Chen</x:v>
      </x:c>
      <x:c r="C30" s="56" t="str">
        <x:v>West</x:v>
      </x:c>
      <x:c r="D30" s="56" t="str">
        <x:v>AE II</x:v>
      </x:c>
      <x:c r="E30" s="58" t="n">
        <x:v>1220000</x:v>
      </x:c>
      <x:c r="F30" s="58" t="n">
        <x:v>1220000</x:v>
      </x:c>
      <x:c r="G30" s="58" t="n">
        <x:v>1220000</x:v>
      </x:c>
      <x:c r="H30" s="56" t="n">
        <x:v>0</x:v>
      </x:c>
      <x:c r="I30" s="66" t="n">
        <x:f>E30-F30</x:f>
        <x:v>0</x:v>
      </x:c>
      <x:c r="J30" s="66" t="n">
        <x:f>F30-G30</x:f>
        <x:v>0</x:v>
      </x:c>
      <x:c r="K30" s="66" t="n">
        <x:f>E30-G30</x:f>
        <x:v>0</x:v>
      </x:c>
      <x:c r="L30" s="68" t="n">
        <x:f>IF(E30=0,0,G30/E30)</x:f>
        <x:v>1</x:v>
      </x:c>
    </x:row>
    <x:row r="31">
      <x:c r="A31" s="56" t="str">
        <x:v>EMP030</x:v>
      </x:c>
      <x:c r="B31" s="56" t="str">
        <x:v>Brooke Wilson</x:v>
      </x:c>
      <x:c r="C31" s="56" t="str">
        <x:v>West</x:v>
      </x:c>
      <x:c r="D31" s="56" t="str">
        <x:v>AE II</x:v>
      </x:c>
      <x:c r="E31" s="58" t="n">
        <x:v>1430000</x:v>
      </x:c>
      <x:c r="F31" s="58" t="n">
        <x:v>1430000</x:v>
      </x:c>
      <x:c r="G31" s="58" t="n">
        <x:v>1430000</x:v>
      </x:c>
      <x:c r="H31" s="56" t="n">
        <x:v>0</x:v>
      </x:c>
      <x:c r="I31" s="66" t="n">
        <x:f>E31-F31</x:f>
        <x:v>0</x:v>
      </x:c>
      <x:c r="J31" s="66" t="n">
        <x:f>F31-G31</x:f>
        <x:v>0</x:v>
      </x:c>
      <x:c r="K31" s="66" t="n">
        <x:f>E31-G31</x:f>
        <x:v>0</x:v>
      </x:c>
      <x:c r="L31" s="68" t="n">
        <x:f>IF(E31=0,0,G31/E31)</x:f>
        <x:v>1</x:v>
      </x:c>
    </x:row>
    <x:row r="32">
      <x:c r="A32" s="56" t="str">
        <x:v>EMP031</x:v>
      </x:c>
      <x:c r="B32" s="56" t="str">
        <x:v>Kevin Tran</x:v>
      </x:c>
      <x:c r="C32" s="56" t="str">
        <x:v>West</x:v>
      </x:c>
      <x:c r="D32" s="56" t="str">
        <x:v>AE II</x:v>
      </x:c>
      <x:c r="E32" s="58" t="n">
        <x:v>1310000</x:v>
      </x:c>
      <x:c r="F32" s="58" t="n">
        <x:v>930100</x:v>
      </x:c>
      <x:c r="G32" s="58" t="n">
        <x:v>851500</x:v>
      </x:c>
      <x:c r="H32" s="56" t="n">
        <x:v>0</x:v>
      </x:c>
      <x:c r="I32" s="66" t="n">
        <x:f>E32-F32</x:f>
        <x:v>379900</x:v>
      </x:c>
      <x:c r="J32" s="66" t="n">
        <x:f>F32-G32</x:f>
        <x:v>78600</x:v>
      </x:c>
      <x:c r="K32" s="66" t="n">
        <x:f>E32-G32</x:f>
        <x:v>458500</x:v>
      </x:c>
      <x:c r="L32" s="68" t="n">
        <x:f>IF(E32=0,0,G32/E32)</x:f>
        <x:v>0.65</x:v>
      </x:c>
    </x:row>
    <x:row r="33">
      <x:c r="A33" s="56" t="str">
        <x:v>EMP032</x:v>
      </x:c>
      <x:c r="B33" s="56" t="str">
        <x:v>Zoe Anderson</x:v>
      </x:c>
      <x:c r="C33" s="56" t="str">
        <x:v>West</x:v>
      </x:c>
      <x:c r="D33" s="56" t="str">
        <x:v>AE II</x:v>
      </x:c>
      <x:c r="E33" s="58" t="n">
        <x:v>1230000</x:v>
      </x:c>
      <x:c r="F33" s="58" t="n">
        <x:v>762600</x:v>
      </x:c>
      <x:c r="G33" s="58" t="n">
        <x:v>659895</x:v>
      </x:c>
      <x:c r="H33" s="56" t="n">
        <x:v>0</x:v>
      </x:c>
      <x:c r="I33" s="66" t="n">
        <x:f>E33-F33</x:f>
        <x:v>467400</x:v>
      </x:c>
      <x:c r="J33" s="66" t="n">
        <x:f>F33-G33</x:f>
        <x:v>102705</x:v>
      </x:c>
      <x:c r="K33" s="66" t="n">
        <x:f>E33-G33</x:f>
        <x:v>570105</x:v>
      </x:c>
      <x:c r="L33" s="68" t="n">
        <x:f>IF(E33=0,0,G33/E33)</x:f>
        <x:v>0.5365</x:v>
      </x:c>
    </x:row>
    <x:row r="34">
      <x:c r="A34" s="56" t="str">
        <x:v>EMP033</x:v>
      </x:c>
      <x:c r="B34" s="56" t="str">
        <x:v>Marcus Chen</x:v>
      </x:c>
      <x:c r="C34" s="56" t="str">
        <x:v>West</x:v>
      </x:c>
      <x:c r="D34" s="56" t="str">
        <x:v>Senior AE</x:v>
      </x:c>
      <x:c r="E34" s="58" t="n">
        <x:v>1900000</x:v>
      </x:c>
      <x:c r="F34" s="58" t="n">
        <x:v>1900000</x:v>
      </x:c>
      <x:c r="G34" s="58" t="n">
        <x:v>1900000</x:v>
      </x:c>
      <x:c r="H34" s="56" t="n">
        <x:v>0</x:v>
      </x:c>
      <x:c r="I34" s="66" t="n">
        <x:f>E34-F34</x:f>
        <x:v>0</x:v>
      </x:c>
      <x:c r="J34" s="66" t="n">
        <x:f>F34-G34</x:f>
        <x:v>0</x:v>
      </x:c>
      <x:c r="K34" s="66" t="n">
        <x:f>E34-G34</x:f>
        <x:v>0</x:v>
      </x:c>
      <x:c r="L34" s="68" t="n">
        <x:f>IF(E34=0,0,G34/E34)</x:f>
        <x:v>1</x:v>
      </x:c>
    </x:row>
    <x:row r="35">
      <x:c r="A35" s="56" t="str">
        <x:v>EMP034</x:v>
      </x:c>
      <x:c r="B35" s="56" t="str">
        <x:v>Priyanka Nair</x:v>
      </x:c>
      <x:c r="C35" s="56" t="str">
        <x:v>West</x:v>
      </x:c>
      <x:c r="D35" s="56" t="str">
        <x:v>Senior AE</x:v>
      </x:c>
      <x:c r="E35" s="58" t="n">
        <x:v>1650000</x:v>
      </x:c>
      <x:c r="F35" s="58" t="n">
        <x:v>1650000</x:v>
      </x:c>
      <x:c r="G35" s="58" t="n">
        <x:v>1650000</x:v>
      </x:c>
      <x:c r="H35" s="56" t="n">
        <x:v>0</x:v>
      </x:c>
      <x:c r="I35" s="66" t="n">
        <x:f>E35-F35</x:f>
        <x:v>0</x:v>
      </x:c>
      <x:c r="J35" s="66" t="n">
        <x:f>F35-G35</x:f>
        <x:v>0</x:v>
      </x:c>
      <x:c r="K35" s="66" t="n">
        <x:f>E35-G35</x:f>
        <x:v>0</x:v>
      </x:c>
      <x:c r="L35" s="68" t="n">
        <x:f>IF(E35=0,0,G35/E35)</x:f>
        <x:v>1</x:v>
      </x:c>
    </x:row>
    <x:row r="36">
      <x:c r="A36" s="56" t="str">
        <x:v>EMP035</x:v>
      </x:c>
      <x:c r="B36" s="56" t="str">
        <x:v>Cole Richardson</x:v>
      </x:c>
      <x:c r="C36" s="56" t="str">
        <x:v>West</x:v>
      </x:c>
      <x:c r="D36" s="56" t="str">
        <x:v>Senior AE</x:v>
      </x:c>
      <x:c r="E36" s="58" t="n">
        <x:v>1920000</x:v>
      </x:c>
      <x:c r="F36" s="58" t="n">
        <x:v>1920000</x:v>
      </x:c>
      <x:c r="G36" s="58" t="n">
        <x:v>1920000</x:v>
      </x:c>
      <x:c r="H36" s="56" t="n">
        <x:v>0</x:v>
      </x:c>
      <x:c r="I36" s="66" t="n">
        <x:f>E36-F36</x:f>
        <x:v>0</x:v>
      </x:c>
      <x:c r="J36" s="66" t="n">
        <x:f>F36-G36</x:f>
        <x:v>0</x:v>
      </x:c>
      <x:c r="K36" s="66" t="n">
        <x:f>E36-G36</x:f>
        <x:v>0</x:v>
      </x:c>
      <x:c r="L36" s="68" t="n">
        <x:f>IF(E36=0,0,G36/E36)</x:f>
        <x:v>1</x:v>
      </x:c>
    </x:row>
    <x:row r="37">
      <x:c r="A37" s="56" t="str">
        <x:v>EMP036</x:v>
      </x:c>
      <x:c r="B37" s="56" t="str">
        <x:v>Jasmine Sidhu</x:v>
      </x:c>
      <x:c r="C37" s="56" t="str">
        <x:v>West</x:v>
      </x:c>
      <x:c r="D37" s="56" t="str">
        <x:v>Senior AE</x:v>
      </x:c>
      <x:c r="E37" s="58" t="n">
        <x:v>1720000</x:v>
      </x:c>
      <x:c r="F37" s="58" t="n">
        <x:v>1720000</x:v>
      </x:c>
      <x:c r="G37" s="58" t="n">
        <x:v>1720000</x:v>
      </x:c>
      <x:c r="H37" s="56" t="n">
        <x:v>0</x:v>
      </x:c>
      <x:c r="I37" s="66" t="n">
        <x:f>E37-F37</x:f>
        <x:v>0</x:v>
      </x:c>
      <x:c r="J37" s="66" t="n">
        <x:f>F37-G37</x:f>
        <x:v>0</x:v>
      </x:c>
      <x:c r="K37" s="66" t="n">
        <x:f>E37-G37</x:f>
        <x:v>0</x:v>
      </x:c>
      <x:c r="L37" s="68" t="n">
        <x:f>IF(E37=0,0,G37/E37)</x:f>
        <x:v>1</x:v>
      </x:c>
    </x:row>
    <x:row r="38">
      <x:c r="A38" s="56" t="str">
        <x:v>EMP037</x:v>
      </x:c>
      <x:c r="B38" s="56" t="str">
        <x:v>Erin MacDonald</x:v>
      </x:c>
      <x:c r="C38" s="56" t="str">
        <x:v>Atlantic</x:v>
      </x:c>
      <x:c r="D38" s="56" t="str">
        <x:v>AE I</x:v>
      </x:c>
      <x:c r="E38" s="58" t="n">
        <x:v>990000</x:v>
      </x:c>
      <x:c r="F38" s="58" t="n">
        <x:v>990000</x:v>
      </x:c>
      <x:c r="G38" s="58" t="n">
        <x:v>990000</x:v>
      </x:c>
      <x:c r="H38" s="56" t="n">
        <x:v>0</x:v>
      </x:c>
      <x:c r="I38" s="66" t="n">
        <x:f>E38-F38</x:f>
        <x:v>0</x:v>
      </x:c>
      <x:c r="J38" s="66" t="n">
        <x:f>F38-G38</x:f>
        <x:v>0</x:v>
      </x:c>
      <x:c r="K38" s="66" t="n">
        <x:f>E38-G38</x:f>
        <x:v>0</x:v>
      </x:c>
      <x:c r="L38" s="68" t="n">
        <x:f>IF(E38=0,0,G38/E38)</x:f>
        <x:v>1</x:v>
      </x:c>
    </x:row>
    <x:row r="39">
      <x:c r="A39" s="56" t="str">
        <x:v>EMP038</x:v>
      </x:c>
      <x:c r="B39" s="56" t="str">
        <x:v>Samuel Fraser</x:v>
      </x:c>
      <x:c r="C39" s="56" t="str">
        <x:v>Atlantic</x:v>
      </x:c>
      <x:c r="D39" s="56" t="str">
        <x:v>AE I</x:v>
      </x:c>
      <x:c r="E39" s="58" t="n">
        <x:v>930000</x:v>
      </x:c>
      <x:c r="F39" s="58" t="n">
        <x:v>930000</x:v>
      </x:c>
      <x:c r="G39" s="58" t="n">
        <x:v>930000</x:v>
      </x:c>
      <x:c r="H39" s="56" t="n">
        <x:v>0</x:v>
      </x:c>
      <x:c r="I39" s="66" t="n">
        <x:f>E39-F39</x:f>
        <x:v>0</x:v>
      </x:c>
      <x:c r="J39" s="66" t="n">
        <x:f>F39-G39</x:f>
        <x:v>0</x:v>
      </x:c>
      <x:c r="K39" s="66" t="n">
        <x:f>E39-G39</x:f>
        <x:v>0</x:v>
      </x:c>
      <x:c r="L39" s="68" t="n">
        <x:f>IF(E39=0,0,G39/E39)</x:f>
        <x:v>1</x:v>
      </x:c>
    </x:row>
    <x:row r="40">
      <x:c r="A40" s="56" t="str">
        <x:v>EMP039</x:v>
      </x:c>
      <x:c r="B40" s="56" t="str">
        <x:v>Isabelle LeBlanc</x:v>
      </x:c>
      <x:c r="C40" s="56" t="str">
        <x:v>Atlantic</x:v>
      </x:c>
      <x:c r="D40" s="56" t="str">
        <x:v>AE I</x:v>
      </x:c>
      <x:c r="E40" s="58" t="n">
        <x:v>930000</x:v>
      </x:c>
      <x:c r="F40" s="58" t="n">
        <x:v>930000</x:v>
      </x:c>
      <x:c r="G40" s="58" t="n">
        <x:v>930000</x:v>
      </x:c>
      <x:c r="H40" s="56" t="n">
        <x:v>0</x:v>
      </x:c>
      <x:c r="I40" s="66" t="n">
        <x:f>E40-F40</x:f>
        <x:v>0</x:v>
      </x:c>
      <x:c r="J40" s="66" t="n">
        <x:f>F40-G40</x:f>
        <x:v>0</x:v>
      </x:c>
      <x:c r="K40" s="66" t="n">
        <x:f>E40-G40</x:f>
        <x:v>0</x:v>
      </x:c>
      <x:c r="L40" s="68" t="n">
        <x:f>IF(E40=0,0,G40/E40)</x:f>
        <x:v>1</x:v>
      </x:c>
    </x:row>
    <x:row r="41">
      <x:c r="A41" s="56" t="str">
        <x:v>EMP040</x:v>
      </x:c>
      <x:c r="B41" s="56" t="str">
        <x:v>Jacob Murphy</x:v>
      </x:c>
      <x:c r="C41" s="56" t="str">
        <x:v>Atlantic</x:v>
      </x:c>
      <x:c r="D41" s="56" t="str">
        <x:v>AE I</x:v>
      </x:c>
      <x:c r="E41" s="58" t="n">
        <x:v>1020000</x:v>
      </x:c>
      <x:c r="F41" s="58" t="n">
        <x:v>387600</x:v>
      </x:c>
      <x:c r="G41" s="58" t="n">
        <x:v>358645.16129032255</x:v>
      </x:c>
      <x:c r="H41" s="56" t="n">
        <x:v>0</x:v>
      </x:c>
      <x:c r="I41" s="66" t="n">
        <x:f>E41-F41</x:f>
        <x:v>632400</x:v>
      </x:c>
      <x:c r="J41" s="66" t="n">
        <x:f>F41-G41</x:f>
        <x:v>28954.838709677453</x:v>
      </x:c>
      <x:c r="K41" s="66" t="n">
        <x:f>E41-G41</x:f>
        <x:v>661354.8387096775</x:v>
      </x:c>
      <x:c r="L41" s="68" t="n">
        <x:f>IF(E41=0,0,G41/E41)</x:f>
        <x:v>0.3516129032258064</x:v>
      </x:c>
    </x:row>
    <x:row r="42">
      <x:c r="A42" s="56" t="str">
        <x:v>EMP041</x:v>
      </x:c>
      <x:c r="B42" s="56" t="str">
        <x:v>Mia O'Brien</x:v>
      </x:c>
      <x:c r="C42" s="56" t="str">
        <x:v>Atlantic</x:v>
      </x:c>
      <x:c r="D42" s="56" t="str">
        <x:v>AE I</x:v>
      </x:c>
      <x:c r="E42" s="58" t="n">
        <x:v>970000</x:v>
      </x:c>
      <x:c r="F42" s="58" t="n">
        <x:v>970000</x:v>
      </x:c>
      <x:c r="G42" s="58" t="n">
        <x:v>970000</x:v>
      </x:c>
      <x:c r="H42" s="56" t="n">
        <x:v>0</x:v>
      </x:c>
      <x:c r="I42" s="66" t="n">
        <x:f>E42-F42</x:f>
        <x:v>0</x:v>
      </x:c>
      <x:c r="J42" s="66" t="n">
        <x:f>F42-G42</x:f>
        <x:v>0</x:v>
      </x:c>
      <x:c r="K42" s="66" t="n">
        <x:f>E42-G42</x:f>
        <x:v>0</x:v>
      </x:c>
      <x:c r="L42" s="68" t="n">
        <x:f>IF(E42=0,0,G42/E42)</x:f>
        <x:v>1</x:v>
      </x:c>
    </x:row>
    <x:row r="43">
      <x:c r="A43" s="56" t="str">
        <x:v>EMP042</x:v>
      </x:c>
      <x:c r="B43" s="56" t="str">
        <x:v>Ben Sullivan</x:v>
      </x:c>
      <x:c r="C43" s="56" t="str">
        <x:v>Atlantic</x:v>
      </x:c>
      <x:c r="D43" s="56" t="str">
        <x:v>AE II</x:v>
      </x:c>
      <x:c r="E43" s="58" t="n">
        <x:v>1430000</x:v>
      </x:c>
      <x:c r="F43" s="58" t="n">
        <x:v>1430000</x:v>
      </x:c>
      <x:c r="G43" s="58" t="n">
        <x:v>1430000</x:v>
      </x:c>
      <x:c r="H43" s="56" t="n">
        <x:v>0</x:v>
      </x:c>
      <x:c r="I43" s="66" t="n">
        <x:f>E43-F43</x:f>
        <x:v>0</x:v>
      </x:c>
      <x:c r="J43" s="66" t="n">
        <x:f>F43-G43</x:f>
        <x:v>0</x:v>
      </x:c>
      <x:c r="K43" s="66" t="n">
        <x:f>E43-G43</x:f>
        <x:v>0</x:v>
      </x:c>
      <x:c r="L43" s="68" t="n">
        <x:f>IF(E43=0,0,G43/E43)</x:f>
        <x:v>1</x:v>
      </x:c>
    </x:row>
    <x:row r="44">
      <x:c r="A44" s="56" t="str">
        <x:v>EMP043</x:v>
      </x:c>
      <x:c r="B44" s="56" t="str">
        <x:v>Sophie Landry</x:v>
      </x:c>
      <x:c r="C44" s="56" t="str">
        <x:v>Atlantic</x:v>
      </x:c>
      <x:c r="D44" s="56" t="str">
        <x:v>AE II</x:v>
      </x:c>
      <x:c r="E44" s="58" t="n">
        <x:v>1270000</x:v>
      </x:c>
      <x:c r="F44" s="58" t="n">
        <x:v>1270000</x:v>
      </x:c>
      <x:c r="G44" s="58" t="n">
        <x:v>1270000</x:v>
      </x:c>
      <x:c r="H44" s="56" t="n">
        <x:v>0</x:v>
      </x:c>
      <x:c r="I44" s="66" t="n">
        <x:f>E44-F44</x:f>
        <x:v>0</x:v>
      </x:c>
      <x:c r="J44" s="66" t="n">
        <x:f>F44-G44</x:f>
        <x:v>0</x:v>
      </x:c>
      <x:c r="K44" s="66" t="n">
        <x:f>E44-G44</x:f>
        <x:v>0</x:v>
      </x:c>
      <x:c r="L44" s="68" t="n">
        <x:f>IF(E44=0,0,G44/E44)</x:f>
        <x:v>1</x:v>
      </x:c>
    </x:row>
    <x:row r="45">
      <x:c r="A45" s="56" t="str">
        <x:v>EMP044</x:v>
      </x:c>
      <x:c r="B45" s="56" t="str">
        <x:v>Aiden Power</x:v>
      </x:c>
      <x:c r="C45" s="56" t="str">
        <x:v>Atlantic</x:v>
      </x:c>
      <x:c r="D45" s="56" t="str">
        <x:v>AE II</x:v>
      </x:c>
      <x:c r="E45" s="58" t="n">
        <x:v>1380000</x:v>
      </x:c>
      <x:c r="F45" s="58" t="n">
        <x:v>1380000</x:v>
      </x:c>
      <x:c r="G45" s="58" t="n">
        <x:v>1380000</x:v>
      </x:c>
      <x:c r="H45" s="56" t="n">
        <x:v>0</x:v>
      </x:c>
      <x:c r="I45" s="66" t="n">
        <x:f>E45-F45</x:f>
        <x:v>0</x:v>
      </x:c>
      <x:c r="J45" s="66" t="n">
        <x:f>F45-G45</x:f>
        <x:v>0</x:v>
      </x:c>
      <x:c r="K45" s="66" t="n">
        <x:f>E45-G45</x:f>
        <x:v>0</x:v>
      </x:c>
      <x:c r="L45" s="68" t="n">
        <x:f>IF(E45=0,0,G45/E45)</x:f>
        <x:v>1</x:v>
      </x:c>
    </x:row>
    <x:row r="46">
      <x:c r="A46" s="56" t="str">
        <x:v>EMP045</x:v>
      </x:c>
      <x:c r="B46" s="56" t="str">
        <x:v>Claire MacKenzie</x:v>
      </x:c>
      <x:c r="C46" s="56" t="str">
        <x:v>Atlantic</x:v>
      </x:c>
      <x:c r="D46" s="56" t="str">
        <x:v>AE II</x:v>
      </x:c>
      <x:c r="E46" s="58" t="n">
        <x:v>1240000</x:v>
      </x:c>
      <x:c r="F46" s="58" t="n">
        <x:v>1240000</x:v>
      </x:c>
      <x:c r="G46" s="58" t="n">
        <x:v>1240000</x:v>
      </x:c>
      <x:c r="H46" s="56" t="n">
        <x:v>0</x:v>
      </x:c>
      <x:c r="I46" s="66" t="n">
        <x:f>E46-F46</x:f>
        <x:v>0</x:v>
      </x:c>
      <x:c r="J46" s="66" t="n">
        <x:f>F46-G46</x:f>
        <x:v>0</x:v>
      </x:c>
      <x:c r="K46" s="66" t="n">
        <x:f>E46-G46</x:f>
        <x:v>0</x:v>
      </x:c>
      <x:c r="L46" s="68" t="n">
        <x:f>IF(E46=0,0,G46/E46)</x:f>
        <x:v>1</x:v>
      </x:c>
    </x:row>
    <x:row r="47">
      <x:c r="A47" s="56" t="str">
        <x:v>EMP046</x:v>
      </x:c>
      <x:c r="B47" s="56" t="str">
        <x:v>Daniel Okafor</x:v>
      </x:c>
      <x:c r="C47" s="56" t="str">
        <x:v>Atlantic</x:v>
      </x:c>
      <x:c r="D47" s="56" t="str">
        <x:v>AE II</x:v>
      </x:c>
      <x:c r="E47" s="58" t="n">
        <x:v>1270000</x:v>
      </x:c>
      <x:c r="F47" s="58" t="n">
        <x:v>1270000</x:v>
      </x:c>
      <x:c r="G47" s="58" t="n">
        <x:v>1270000</x:v>
      </x:c>
      <x:c r="H47" s="56" t="n">
        <x:v>0</x:v>
      </x:c>
      <x:c r="I47" s="66" t="n">
        <x:f>E47-F47</x:f>
        <x:v>0</x:v>
      </x:c>
      <x:c r="J47" s="66" t="n">
        <x:f>F47-G47</x:f>
        <x:v>0</x:v>
      </x:c>
      <x:c r="K47" s="66" t="n">
        <x:f>E47-G47</x:f>
        <x:v>0</x:v>
      </x:c>
      <x:c r="L47" s="68" t="n">
        <x:f>IF(E47=0,0,G47/E47)</x:f>
        <x:v>1</x:v>
      </x:c>
    </x:row>
    <x:row r="48">
      <x:c r="A48" s="56" t="str">
        <x:v>EMP047</x:v>
      </x:c>
      <x:c r="B48" s="56" t="str">
        <x:v>Rachel Green</x:v>
      </x:c>
      <x:c r="C48" s="56" t="str">
        <x:v>Atlantic</x:v>
      </x:c>
      <x:c r="D48" s="56" t="str">
        <x:v>Senior AE</x:v>
      </x:c>
      <x:c r="E48" s="58" t="n">
        <x:v>1680000</x:v>
      </x:c>
      <x:c r="F48" s="58" t="n">
        <x:v>487200</x:v>
      </x:c>
      <x:c r="G48" s="58" t="n">
        <x:v>351851.6129032258</x:v>
      </x:c>
      <x:c r="H48" s="56" t="n">
        <x:v>0</x:v>
      </x:c>
      <x:c r="I48" s="66" t="n">
        <x:f>E48-F48</x:f>
        <x:v>1192800</x:v>
      </x:c>
      <x:c r="J48" s="66" t="n">
        <x:f>F48-G48</x:f>
        <x:v>135348.38709677418</x:v>
      </x:c>
      <x:c r="K48" s="66" t="n">
        <x:f>E48-G48</x:f>
        <x:v>1328148.3870967743</x:v>
      </x:c>
      <x:c r="L48" s="68" t="n">
        <x:f>IF(E48=0,0,G48/E48)</x:f>
        <x:v>0.20943548387096775</x:v>
      </x:c>
    </x:row>
    <x:row r="49">
      <x:c r="A49" s="56" t="str">
        <x:v>EMP048</x:v>
      </x:c>
      <x:c r="B49" s="56" t="str">
        <x:v>Matthew King</x:v>
      </x:c>
      <x:c r="C49" s="56" t="str">
        <x:v>Atlantic</x:v>
      </x:c>
      <x:c r="D49" s="56" t="str">
        <x:v>Senior AE</x:v>
      </x:c>
      <x:c r="E49" s="58" t="n">
        <x:v>1720000</x:v>
      </x:c>
      <x:c r="F49" s="58" t="n">
        <x:v>1720000</x:v>
      </x:c>
      <x:c r="G49" s="58" t="n">
        <x:v>1720000</x:v>
      </x:c>
      <x:c r="H49" s="56" t="n">
        <x:v>0</x:v>
      </x:c>
      <x:c r="I49" s="66" t="n">
        <x:f>E49-F49</x:f>
        <x:v>0</x:v>
      </x:c>
      <x:c r="J49" s="66" t="n">
        <x:f>F49-G49</x:f>
        <x:v>0</x:v>
      </x:c>
      <x:c r="K49" s="66" t="n">
        <x:f>E49-G49</x:f>
        <x:v>0</x:v>
      </x:c>
      <x:c r="L49" s="68" t="n">
        <x:f>IF(E49=0,0,G49/E49)</x:f>
        <x:v>1</x:v>
      </x:c>
    </x:row>
  </x:sheetData>
  <x:mergeCells>
    <x:mergeCell ref="N1:Q1"/>
  </x:mergeCells>
  <x:conditionalFormatting sqref="L2:L4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5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31" hidden="0" customWidth="1"/>
    <x:col min="11" max="11" width="21" hidden="0" customWidth="1"/>
  </x:cols>
  <x:sheetData>
    <x:row r="1">
      <x:c r="A1" s="52" t="str">
        <x:v>Sales Crediting — Reconciliation &amp; Control Examples</x:v>
      </x:c>
    </x:row>
    <x:row r="3">
      <x:c r="A3" s="13" t="str">
        <x:v>Credit_Status</x:v>
      </x:c>
      <x:c r="B3" s="13" t="str">
        <x:v>Rows</x:v>
      </x:c>
      <x:c r="C3" s="13" t="str">
        <x:v>Raw_Revenue</x:v>
      </x:c>
      <x:c r="D3" s="13" t="str">
        <x:v>Eligible_Credited_Amount</x:v>
      </x:c>
      <x:c r="F3" s="13" t="str">
        <x:v>Reason_Code</x:v>
      </x:c>
      <x:c r="G3" s="13" t="str">
        <x:v>Rows</x:v>
      </x:c>
      <x:c r="H3" s="13" t="str">
        <x:v>Raw_Revenue</x:v>
      </x:c>
      <x:c r="I3" s="13" t="str">
        <x:v>Credited_Amount</x:v>
      </x:c>
    </x:row>
    <x:row r="4">
      <x:c r="A4" t="str">
        <x:v>Eligible</x:v>
      </x:c>
      <x:c r="B4" t="n">
        <x:v>6377</x:v>
      </x:c>
      <x:c r="C4" s="66" t="n">
        <x:v>60793194.71999998</x:v>
      </x:c>
      <x:c r="D4" s="66" t="n">
        <x:v>60793194.71999998</x:v>
      </x:c>
      <x:c r="F4" t="str">
        <x:v>VALID_SALE</x:v>
      </x:c>
      <x:c r="G4" t="n">
        <x:v>6341</x:v>
      </x:c>
      <x:c r="H4" s="66" t="n">
        <x:v>60957678.75999995</x:v>
      </x:c>
      <x:c r="I4" s="66" t="n">
        <x:v>60957678.75999995</x:v>
      </x:c>
    </x:row>
    <x:row r="5">
      <x:c r="A5" t="str">
        <x:v>Excluded</x:v>
      </x:c>
      <x:c r="B5" t="n">
        <x:v>449</x:v>
      </x:c>
      <x:c r="C5" s="66" t="n">
        <x:v>610575.2400000007</x:v>
      </x:c>
      <x:c r="D5" s="66" t="n">
        <x:v>0</x:v>
      </x:c>
      <x:c r="F5" t="str">
        <x:v>VALID_RETURN</x:v>
      </x:c>
      <x:c r="G5" t="n">
        <x:v>36</x:v>
      </x:c>
      <x:c r="H5" s="66" t="n">
        <x:v>-164484.03999999998</x:v>
      </x:c>
      <x:c r="I5" s="66" t="n">
        <x:v>-164484.03999999998</x:v>
      </x:c>
    </x:row>
    <x:row r="6">
      <x:c r="A6" t="str">
        <x:v>Review</x:v>
      </x:c>
      <x:c r="B6" t="n">
        <x:v>2</x:v>
      </x:c>
      <x:c r="C6" s="66" t="n">
        <x:v>7750</x:v>
      </x:c>
      <x:c r="D6" s="66" t="n">
        <x:v>0</x:v>
      </x:c>
      <x:c r="F6" t="str">
        <x:v>NONCOMMISSIONABLE_CATEGORY</x:v>
      </x:c>
      <x:c r="G6" t="n">
        <x:v>402</x:v>
      </x:c>
      <x:c r="H6" s="66" t="n">
        <x:v>232727.41</x:v>
      </x:c>
      <x:c r="I6" s="66" t="n">
        <x:v>0</x:v>
      </x:c>
    </x:row>
    <x:row r="7">
      <x:c r="A7" t="str">
        <x:v>HOLD</x:v>
      </x:c>
      <x:c r="B7" t="n">
        <x:v>11</x:v>
      </x:c>
      <x:c r="C7" s="66" t="n">
        <x:v>123170.12999999998</x:v>
      </x:c>
      <x:c r="D7" s="66" t="n">
        <x:v>0</x:v>
      </x:c>
      <x:c r="F7" t="str">
        <x:v>CANCELLED_TRANSACTION</x:v>
      </x:c>
      <x:c r="G7" t="n">
        <x:v>47</x:v>
      </x:c>
      <x:c r="H7" s="66" t="n">
        <x:v>377847.8300000001</x:v>
      </x:c>
      <x:c r="I7" s="66" t="n">
        <x:v>0</x:v>
      </x:c>
    </x:row>
    <x:row r="8">
      <x:c r="F8" t="str">
        <x:v>DUPLICATE_TRANSACTION_ID</x:v>
      </x:c>
      <x:c r="G8" t="n">
        <x:v>6</x:v>
      </x:c>
      <x:c r="H8" s="66" t="n">
        <x:v>86983.01999999999</x:v>
      </x:c>
      <x:c r="I8" s="66" t="n">
        <x:v>0</x:v>
      </x:c>
    </x:row>
    <x:row r="9">
      <x:c r="F9" t="str">
        <x:v>INVALID_EMPLOYEE_ID</x:v>
      </x:c>
      <x:c r="G9" t="n">
        <x:v>1</x:v>
      </x:c>
      <x:c r="H9" s="66" t="n">
        <x:v>9200</x:v>
      </x:c>
      <x:c r="I9" s="66" t="n">
        <x:v>0</x:v>
      </x:c>
    </x:row>
    <x:row r="10">
      <x:c r="F10" t="str">
        <x:v>EMPLOYEE_NOT_ELIGIBLE_ON_DATE</x:v>
      </x:c>
      <x:c r="G10" t="n">
        <x:v>3</x:v>
      </x:c>
      <x:c r="H10" s="66" t="n">
        <x:v>19387.11</x:v>
      </x:c>
      <x:c r="I10" s="66" t="n">
        <x:v>0</x:v>
      </x:c>
    </x:row>
    <x:row r="11">
      <x:c r="F11" t="str">
        <x:v>OUTSIDE_COMP_PERIOD</x:v>
      </x:c>
      <x:c r="G11" t="n">
        <x:v>1</x:v>
      </x:c>
      <x:c r="H11" s="66" t="n">
        <x:v>11250</x:v>
      </x:c>
      <x:c r="I11" s="66" t="n">
        <x:v>0</x:v>
      </x:c>
    </x:row>
    <x:row r="12">
      <x:c r="F12" t="str">
        <x:v>UNKNOWN_PRODUCT_CATEGORY</x:v>
      </x:c>
      <x:c r="G12" t="n">
        <x:v>1</x:v>
      </x:c>
      <x:c r="H12" s="66" t="n">
        <x:v>7600</x:v>
      </x:c>
      <x:c r="I12" s="66" t="n">
        <x:v>0</x:v>
      </x:c>
    </x:row>
    <x:row r="13">
      <x:c r="F13" t="str">
        <x:v>NEGATIVE_REVENUE_ON_SALE</x:v>
      </x:c>
      <x:c r="G13" t="n">
        <x:v>1</x:v>
      </x:c>
      <x:c r="H13" s="66" t="n">
        <x:v>-3500</x:v>
      </x:c>
      <x:c r="I13" s="66" t="n">
        <x:v>0</x:v>
      </x:c>
    </x:row>
    <x:row r="16">
      <x:c r="A16" s="54" t="str">
        <x:v>Transaction_ID</x:v>
      </x:c>
      <x:c r="B16" s="54" t="str">
        <x:v>Employee_ID</x:v>
      </x:c>
      <x:c r="C16" s="54" t="str">
        <x:v>Transaction_Date</x:v>
      </x:c>
      <x:c r="D16" s="54" t="str">
        <x:v>Product_Category_ID</x:v>
      </x:c>
      <x:c r="E16" s="54" t="str">
        <x:v>Raw_Revenue</x:v>
      </x:c>
      <x:c r="F16" s="54" t="str">
        <x:v>Transaction_Type</x:v>
      </x:c>
      <x:c r="G16" s="54" t="str">
        <x:v>Transaction_Status</x:v>
      </x:c>
      <x:c r="H16" s="54" t="str">
        <x:v>Period_ID</x:v>
      </x:c>
      <x:c r="I16" s="54" t="str">
        <x:v>Credit_Status</x:v>
      </x:c>
      <x:c r="J16" s="54" t="str">
        <x:v>Reason_Code</x:v>
      </x:c>
      <x:c r="K16" s="54" t="str">
        <x:v>Eligible_Credited_Amount</x:v>
      </x:c>
    </x:row>
    <x:row r="17">
      <x:c r="A17" s="56" t="str">
        <x:v>TX006833</x:v>
      </x:c>
      <x:c r="B17" s="56" t="str">
        <x:v>EMP999</x:v>
      </x:c>
      <x:c r="C17" s="70" t="n">
        <x:v>46126</x:v>
      </x:c>
      <x:c r="D17" s="56" t="str">
        <x:v>OFFICE</x:v>
      </x:c>
      <x:c r="E17" s="72" t="n">
        <x:v>9200</x:v>
      </x:c>
      <x:c r="F17" s="56" t="str">
        <x:v>Sale</x:v>
      </x:c>
      <x:c r="G17" s="56" t="str">
        <x:v>Invoiced</x:v>
      </x:c>
      <x:c r="H17" s="56" t="str">
        <x:v>2026-04</x:v>
      </x:c>
      <x:c r="I17" s="56" t="str">
        <x:v>HOLD</x:v>
      </x:c>
      <x:c r="J17" s="56" t="str">
        <x:v>INVALID_EMPLOYEE_ID</x:v>
      </x:c>
      <x:c r="K17" s="72" t="n">
        <x:v>0</x:v>
      </x:c>
    </x:row>
    <x:row r="18">
      <x:c r="A18" s="56" t="str">
        <x:v>TX006834</x:v>
      </x:c>
      <x:c r="B18" s="56" t="str">
        <x:v>EMP038</x:v>
      </x:c>
      <x:c r="C18" s="70" t="n">
        <x:v>46191</x:v>
      </x:c>
      <x:c r="D18" s="56" t="str">
        <x:v>FURN</x:v>
      </x:c>
      <x:c r="E18" s="72" t="n">
        <x:v>-3500</x:v>
      </x:c>
      <x:c r="F18" s="56" t="str">
        <x:v>Sale</x:v>
      </x:c>
      <x:c r="G18" s="56" t="str">
        <x:v>Invoiced</x:v>
      </x:c>
      <x:c r="H18" s="56" t="str">
        <x:v>2026-06</x:v>
      </x:c>
      <x:c r="I18" s="56" t="str">
        <x:v>Review</x:v>
      </x:c>
      <x:c r="J18" s="56" t="str">
        <x:v>NEGATIVE_REVENUE_ON_SALE</x:v>
      </x:c>
      <x:c r="K18" s="72" t="n">
        <x:v>0</x:v>
      </x:c>
    </x:row>
    <x:row r="19">
      <x:c r="A19" s="56" t="str">
        <x:v>TX006835</x:v>
      </x:c>
      <x:c r="B19" s="56" t="str">
        <x:v>EMP021</x:v>
      </x:c>
      <x:c r="C19" s="70" t="n">
        <x:v>46214</x:v>
      </x:c>
      <x:c r="D19" s="56" t="str">
        <x:v>UNKNOWN</x:v>
      </x:c>
      <x:c r="E19" s="72" t="n">
        <x:v>7600</x:v>
      </x:c>
      <x:c r="F19" s="56" t="str">
        <x:v>Sale</x:v>
      </x:c>
      <x:c r="G19" s="56" t="str">
        <x:v>Invoiced</x:v>
      </x:c>
      <x:c r="H19" s="56" t="str">
        <x:v>2026-07</x:v>
      </x:c>
      <x:c r="I19" s="56" t="str">
        <x:v>HOLD</x:v>
      </x:c>
      <x:c r="J19" s="56" t="str">
        <x:v>UNKNOWN_PRODUCT_CATEGORY</x:v>
      </x:c>
      <x:c r="K19" s="72" t="n">
        <x:v>0</x:v>
      </x:c>
    </x:row>
    <x:row r="20">
      <x:c r="A20" s="56" t="str">
        <x:v>TX006832</x:v>
      </x:c>
      <x:c r="B20" s="56" t="str">
        <x:v>EMP031</x:v>
      </x:c>
      <x:c r="C20" s="70" t="n">
        <x:v>46290</x:v>
      </x:c>
      <x:c r="D20" s="56" t="str">
        <x:v>TECH</x:v>
      </x:c>
      <x:c r="E20" s="72" t="n">
        <x:v>18400</x:v>
      </x:c>
      <x:c r="F20" s="56" t="str">
        <x:v>Sale</x:v>
      </x:c>
      <x:c r="G20" s="56" t="str">
        <x:v>Invoiced</x:v>
      </x:c>
      <x:c r="H20" s="56" t="str">
        <x:v>2026-09</x:v>
      </x:c>
      <x:c r="I20" s="56" t="str">
        <x:v>HOLD</x:v>
      </x:c>
      <x:c r="J20" s="56" t="str">
        <x:v>EMPLOYEE_NOT_ELIGIBLE_ON_DATE</x:v>
      </x:c>
      <x:c r="K20" s="72" t="n">
        <x:v>0</x:v>
      </x:c>
    </x:row>
    <x:row r="21">
      <x:c r="A21" s="56" t="str">
        <x:v>TX000437</x:v>
      </x:c>
      <x:c r="B21" s="56" t="str">
        <x:v>EMP003</x:v>
      </x:c>
      <x:c r="C21" s="70" t="n">
        <x:v>46344</x:v>
      </x:c>
      <x:c r="D21" s="56" t="str">
        <x:v>OFFICE</x:v>
      </x:c>
      <x:c r="E21" s="72" t="n">
        <x:v>17438.65</x:v>
      </x:c>
      <x:c r="F21" s="56" t="str">
        <x:v>Sale</x:v>
      </x:c>
      <x:c r="G21" s="56" t="str">
        <x:v>Invoiced</x:v>
      </x:c>
      <x:c r="H21" s="56" t="str">
        <x:v>2026-11</x:v>
      </x:c>
      <x:c r="I21" s="56" t="str">
        <x:v>HOLD</x:v>
      </x:c>
      <x:c r="J21" s="56" t="str">
        <x:v>DUPLICATE_TRANSACTION_ID</x:v>
      </x:c>
      <x:c r="K21" s="72" t="n">
        <x:v>0</x:v>
      </x:c>
    </x:row>
    <x:row r="22">
      <x:c r="A22" s="56" t="str">
        <x:v>TX000437</x:v>
      </x:c>
      <x:c r="B22" s="56" t="str">
        <x:v>EMP003</x:v>
      </x:c>
      <x:c r="C22" s="70" t="n">
        <x:v>46344</x:v>
      </x:c>
      <x:c r="D22" s="56" t="str">
        <x:v>OFFICE</x:v>
      </x:c>
      <x:c r="E22" s="72" t="n">
        <x:v>17438.65</x:v>
      </x:c>
      <x:c r="F22" s="56" t="str">
        <x:v>Sale</x:v>
      </x:c>
      <x:c r="G22" s="56" t="str">
        <x:v>Invoiced</x:v>
      </x:c>
      <x:c r="H22" s="56" t="str">
        <x:v>2026-11</x:v>
      </x:c>
      <x:c r="I22" s="56" t="str">
        <x:v>HOLD</x:v>
      </x:c>
      <x:c r="J22" s="56" t="str">
        <x:v>DUPLICATE_TRANSACTION_ID</x:v>
      </x:c>
      <x:c r="K22" s="72" t="n">
        <x:v>0</x:v>
      </x:c>
    </x:row>
    <x:row r="23">
      <x:c r="A23" s="56" t="str">
        <x:v>TX006201</x:v>
      </x:c>
      <x:c r="B23" s="56" t="str">
        <x:v>EMP043</x:v>
      </x:c>
      <x:c r="C23" s="70" t="n">
        <x:v>46357</x:v>
      </x:c>
      <x:c r="D23" s="56" t="str">
        <x:v>FURN</x:v>
      </x:c>
      <x:c r="E23" s="72" t="n">
        <x:v>24156.43</x:v>
      </x:c>
      <x:c r="F23" s="56" t="str">
        <x:v>Sale</x:v>
      </x:c>
      <x:c r="G23" s="56" t="str">
        <x:v>Invoiced</x:v>
      </x:c>
      <x:c r="H23" s="56" t="str">
        <x:v>2026-12</x:v>
      </x:c>
      <x:c r="I23" s="56" t="str">
        <x:v>HOLD</x:v>
      </x:c>
      <x:c r="J23" s="56" t="str">
        <x:v>DUPLICATE_TRANSACTION_ID</x:v>
      </x:c>
      <x:c r="K23" s="72" t="n">
        <x:v>0</x:v>
      </x:c>
    </x:row>
    <x:row r="24">
      <x:c r="A24" s="56" t="str">
        <x:v>TX006201</x:v>
      </x:c>
      <x:c r="B24" s="56" t="str">
        <x:v>EMP043</x:v>
      </x:c>
      <x:c r="C24" s="70" t="n">
        <x:v>46357</x:v>
      </x:c>
      <x:c r="D24" s="56" t="str">
        <x:v>FURN</x:v>
      </x:c>
      <x:c r="E24" s="72" t="n">
        <x:v>24156.43</x:v>
      </x:c>
      <x:c r="F24" s="56" t="str">
        <x:v>Sale</x:v>
      </x:c>
      <x:c r="G24" s="56" t="str">
        <x:v>Invoiced</x:v>
      </x:c>
      <x:c r="H24" s="56" t="str">
        <x:v>2026-12</x:v>
      </x:c>
      <x:c r="I24" s="56" t="str">
        <x:v>HOLD</x:v>
      </x:c>
      <x:c r="J24" s="56" t="str">
        <x:v>DUPLICATE_TRANSACTION_ID</x:v>
      </x:c>
      <x:c r="K24" s="72" t="n">
        <x:v>0</x:v>
      </x:c>
    </x:row>
    <x:row r="25">
      <x:c r="A25" s="56" t="str">
        <x:v>TX004319</x:v>
      </x:c>
      <x:c r="B25" s="56" t="str">
        <x:v>EMP028</x:v>
      </x:c>
      <x:c r="C25" s="70" t="n">
        <x:v>46363</x:v>
      </x:c>
      <x:c r="D25" s="56" t="str">
        <x:v>OFFICE</x:v>
      </x:c>
      <x:c r="E25" s="72" t="n">
        <x:v>1896.43</x:v>
      </x:c>
      <x:c r="F25" s="56" t="str">
        <x:v>Sale</x:v>
      </x:c>
      <x:c r="G25" s="56" t="str">
        <x:v>Invoiced</x:v>
      </x:c>
      <x:c r="H25" s="56" t="str">
        <x:v>2026-12</x:v>
      </x:c>
      <x:c r="I25" s="56" t="str">
        <x:v>HOLD</x:v>
      </x:c>
      <x:c r="J25" s="56" t="str">
        <x:v>DUPLICATE_TRANSACTION_ID</x:v>
      </x:c>
      <x:c r="K25" s="72" t="n">
        <x:v>0</x:v>
      </x:c>
    </x:row>
    <x:row r="26">
      <x:c r="A26" s="56" t="str">
        <x:v>TX004319</x:v>
      </x:c>
      <x:c r="B26" s="56" t="str">
        <x:v>EMP028</x:v>
      </x:c>
      <x:c r="C26" s="70" t="n">
        <x:v>46363</x:v>
      </x:c>
      <x:c r="D26" s="56" t="str">
        <x:v>OFFICE</x:v>
      </x:c>
      <x:c r="E26" s="72" t="n">
        <x:v>1896.43</x:v>
      </x:c>
      <x:c r="F26" s="56" t="str">
        <x:v>Sale</x:v>
      </x:c>
      <x:c r="G26" s="56" t="str">
        <x:v>Invoiced</x:v>
      </x:c>
      <x:c r="H26" s="56" t="str">
        <x:v>2026-12</x:v>
      </x:c>
      <x:c r="I26" s="56" t="str">
        <x:v>HOLD</x:v>
      </x:c>
      <x:c r="J26" s="56" t="str">
        <x:v>DUPLICATE_TRANSACTION_ID</x:v>
      </x:c>
      <x:c r="K26" s="72" t="n">
        <x:v>0</x:v>
      </x:c>
    </x:row>
    <x:row r="27">
      <x:c r="A27" s="56" t="str">
        <x:v>TX006836</x:v>
      </x:c>
      <x:c r="B27" s="56" t="str">
        <x:v>EMP026</x:v>
      </x:c>
      <x:c r="C27" s="70" t="n">
        <x:v>46390</x:v>
      </x:c>
      <x:c r="D27" s="56" t="str">
        <x:v>TECH</x:v>
      </x:c>
      <x:c r="E27" s="72" t="n">
        <x:v>11250</x:v>
      </x:c>
      <x:c r="F27" s="56" t="str">
        <x:v>Sale</x:v>
      </x:c>
      <x:c r="G27" s="56" t="str">
        <x:v>Invoiced</x:v>
      </x:c>
      <x:c r="H27" s="56"/>
      <x:c r="I27" s="56" t="str">
        <x:v>Review</x:v>
      </x:c>
      <x:c r="J27" s="56" t="str">
        <x:v>OUTSIDE_COMP_PERIOD</x:v>
      </x:c>
      <x:c r="K27" s="72" t="n">
        <x:v>0</x:v>
      </x:c>
    </x:row>
    <x:row r="28">
      <x:c r="A28" s="56" t="str">
        <x:v>TX004413</x:v>
      </x:c>
      <x:c r="B28" s="56" t="str">
        <x:v>EMP029</x:v>
      </x:c>
      <x:c r="C28" s="70" t="n">
        <x:v>46236</x:v>
      </x:c>
      <x:c r="D28" s="56" t="str">
        <x:v>TECH</x:v>
      </x:c>
      <x:c r="E28" s="72" t="n">
        <x:v>9595.14</x:v>
      </x:c>
      <x:c r="F28" s="56" t="str">
        <x:v>Sale</x:v>
      </x:c>
      <x:c r="G28" s="56" t="str">
        <x:v>Invoiced</x:v>
      </x:c>
      <x:c r="H28" s="56" t="str">
        <x:v>2026-08</x:v>
      </x:c>
      <x:c r="I28" s="56" t="str">
        <x:v>Eligible</x:v>
      </x:c>
      <x:c r="J28" s="56" t="str">
        <x:v>VALID_SALE</x:v>
      </x:c>
      <x:c r="K28" s="72" t="n">
        <x:v>9595.14</x:v>
      </x:c>
    </x:row>
    <x:row r="29">
      <x:c r="A29" s="56" t="str">
        <x:v>TX006803</x:v>
      </x:c>
      <x:c r="B29" s="56" t="str">
        <x:v>EMP025</x:v>
      </x:c>
      <x:c r="C29" s="70" t="n">
        <x:v>46056</x:v>
      </x:c>
      <x:c r="D29" s="56" t="str">
        <x:v>OFFICE</x:v>
      </x:c>
      <x:c r="E29" s="72" t="n">
        <x:v>-5518.53</x:v>
      </x:c>
      <x:c r="F29" s="56" t="str">
        <x:v>Return</x:v>
      </x:c>
      <x:c r="G29" s="56" t="str">
        <x:v>Processed</x:v>
      </x:c>
      <x:c r="H29" s="56" t="str">
        <x:v>2026-02</x:v>
      </x:c>
      <x:c r="I29" s="56" t="str">
        <x:v>Eligible</x:v>
      </x:c>
      <x:c r="J29" s="56" t="str">
        <x:v>VALID_RETURN</x:v>
      </x:c>
      <x:c r="K29" s="72" t="n">
        <x:v>-5518.53</x:v>
      </x:c>
    </x:row>
    <x:row r="30">
      <x:c r="A30" s="56" t="str">
        <x:v>TX003466</x:v>
      </x:c>
      <x:c r="B30" s="56" t="str">
        <x:v>EMP023</x:v>
      </x:c>
      <x:c r="C30" s="70" t="n">
        <x:v>46023</x:v>
      </x:c>
      <x:c r="D30" s="56" t="str">
        <x:v>SHIP</x:v>
      </x:c>
      <x:c r="E30" s="72" t="n">
        <x:v>90.6</x:v>
      </x:c>
      <x:c r="F30" s="56" t="str">
        <x:v>Sale</x:v>
      </x:c>
      <x:c r="G30" s="56" t="str">
        <x:v>Invoiced</x:v>
      </x:c>
      <x:c r="H30" s="56" t="str">
        <x:v>2026-01</x:v>
      </x:c>
      <x:c r="I30" s="56" t="str">
        <x:v>Excluded</x:v>
      </x:c>
      <x:c r="J30" s="56" t="str">
        <x:v>NONCOMMISSIONABLE_CATEGORY</x:v>
      </x:c>
      <x:c r="K30" s="72" t="n">
        <x:v>0</x:v>
      </x:c>
    </x:row>
    <x:row r="31">
      <x:c r="A31" s="56" t="str">
        <x:v>TX003467</x:v>
      </x:c>
      <x:c r="B31" s="56" t="str">
        <x:v>EMP023</x:v>
      </x:c>
      <x:c r="C31" s="70" t="n">
        <x:v>46030</x:v>
      </x:c>
      <x:c r="D31" s="56" t="str">
        <x:v>FURN</x:v>
      </x:c>
      <x:c r="E31" s="72" t="n">
        <x:v>10033.94</x:v>
      </x:c>
      <x:c r="F31" s="56" t="str">
        <x:v>Sale</x:v>
      </x:c>
      <x:c r="G31" s="56" t="str">
        <x:v>Cancelled</x:v>
      </x:c>
      <x:c r="H31" s="56" t="str">
        <x:v>2026-01</x:v>
      </x:c>
      <x:c r="I31" s="56" t="str">
        <x:v>Excluded</x:v>
      </x:c>
      <x:c r="J31" s="56" t="str">
        <x:v>CANCELLED_TRANSACTION</x:v>
      </x:c>
      <x:c r="K31" s="72" t="n">
        <x:v>0</x:v>
      </x:c>
    </x:row>
    <x:row r="34">
      <x:c r="A34" s="19" t="str">
        <x:v>Full transaction-level detail remains in the Phase 5B audit workbook. This portfolio model keeps the complete reconciliation and representative control/traceability rows so the interview walkthrough stays concise.</x:v>
      </x:c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</x:sheetData>
  <x:mergeCells>
    <x:mergeCell ref="A1:L1"/>
    <x:mergeCell ref="A34:K36"/>
  </x:mergeCells>
  <x:conditionalFormatting sqref="I17:I31">
    <x:cfRule type="expression" dxfId="0" priority="1">
      <x:formula>I17="Eligible"</x:formula>
    </x:cfRule>
    <x:cfRule type="expression" dxfId="1" priority="2">
      <x:formula>I17="Review"</x:formula>
    </x:cfRule>
    <x:cfRule type="expression" dxfId="2" priority="3">
      <x:formula>I17="HOLD"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2" hidden="0" customWidth="1"/>
    <x:col min="5" max="5" width="18" hidden="0" customWidth="1"/>
    <x:col min="6" max="6" width="16" hidden="0" customWidth="1"/>
    <x:col min="7" max="7" width="18" hidden="0" customWidth="1"/>
    <x:col min="8" max="8" width="17" hidden="0" customWidth="1"/>
    <x:col min="9" max="9" width="12" hidden="0" customWidth="1"/>
    <x:col min="10" max="10" width="11" hidden="0" customWidth="1"/>
    <x:col min="11" max="11" width="15" hidden="0" customWidth="1"/>
    <x:col min="12" max="12" width="20" hidden="0" customWidth="1"/>
    <x:col min="13" max="13" width="31" hidden="0" customWidth="1"/>
    <x:col min="14" max="14" width="18" hidden="0" customWidth="1"/>
    <x:col min="15" max="15" width="22" hidden="0" customWidth="1"/>
    <x:col min="16" max="16" width="20" hidden="0" customWidth="1"/>
    <x:col min="17" max="17" width="22" hidden="0" customWidth="1"/>
  </x:cols>
  <x:sheetData>
    <x:row r="1">
      <x:c r="A1" s="63" t="str">
        <x:v>Employee_ID</x:v>
      </x:c>
      <x:c r="B1" s="63" t="str">
        <x:v>Employee_Name</x:v>
      </x:c>
      <x:c r="C1" s="63" t="str">
        <x:v>Role</x:v>
      </x:c>
      <x:c r="D1" s="63" t="str">
        <x:v>Period_ID</x:v>
      </x:c>
      <x:c r="E1" s="63" t="str">
        <x:v>Effective_Quota</x:v>
      </x:c>
      <x:c r="F1" s="63" t="str">
        <x:v>Raw_Revenue</x:v>
      </x:c>
      <x:c r="G1" s="63" t="str">
        <x:v>Eligible_Sales</x:v>
      </x:c>
      <x:c r="H1" s="63" t="str">
        <x:v>Excluded_Revenue</x:v>
      </x:c>
      <x:c r="I1" s="63" t="str">
        <x:v>Review_Rows</x:v>
      </x:c>
      <x:c r="J1" s="63" t="str">
        <x:v>HOLD_Rows</x:v>
      </x:c>
      <x:c r="K1" s="63" t="str">
        <x:v>Quota_Attainment</x:v>
      </x:c>
      <x:c r="L1" s="63" t="str">
        <x:v>Performance_Band</x:v>
      </x:c>
      <x:c r="M1" s="63" t="str">
        <x:v>Processing_Status</x:v>
      </x:c>
      <x:c r="N1" s="63" t="str">
        <x:v>Base_Commission</x:v>
      </x:c>
      <x:c r="O1" s="63" t="str">
        <x:v>Accelerator_Commission</x:v>
      </x:c>
      <x:c r="P1" s="63" t="str">
        <x:v>Working_Commission</x:v>
      </x:c>
      <x:c r="Q1" s="63" t="str">
        <x:v>Effective_Commission_Rate</x:v>
      </x:c>
    </x:row>
    <x:row r="2">
      <x:c r="A2" s="56" t="str">
        <x:v>EMP001</x:v>
      </x:c>
      <x:c r="B2" s="56" t="str">
        <x:v>Omar Farouk</x:v>
      </x:c>
      <x:c r="C2" s="56" t="str">
        <x:v>AE II</x:v>
      </x:c>
      <x:c r="D2" s="56" t="str">
        <x:v>2026-01</x:v>
      </x:c>
      <x:c r="E2" s="72" t="n">
        <x:v>91000.00000000001</x:v>
      </x:c>
      <x:c r="F2" s="72" t="n">
        <x:v>93913.2</x:v>
      </x:c>
      <x:c r="G2" s="72" t="n">
        <x:v>93913.2</x:v>
      </x:c>
      <x:c r="H2" s="72" t="n">
        <x:v>0</x:v>
      </x:c>
      <x:c r="I2" s="56" t="n">
        <x:v>0</x:v>
      </x:c>
      <x:c r="J2" s="56" t="n">
        <x:v>0</x:v>
      </x:c>
      <x:c r="K2" s="68" t="n">
        <x:f>IF(E2&lt;=0,"",G2/E2)</x:f>
        <x:v>1.0320131868131865</x:v>
      </x:c>
      <x:c r="L2" t="str">
        <x:f>IF(K2="","Not Calculated",IF(K2&lt;0.8,"Below 80%",IF(K2&lt;1,"80%-99.99%",IF(K2&lt;1.1,"100%-109.99%",IF(K2&lt;1.75,"110%-174.99%","175%+ Review")))))</x:f>
        <x:v>100%-109.99%</x:v>
      </x:c>
      <x:c r="M2" s="56" t="str">
        <x:v>Ready for Commission Calculation</x:v>
      </x:c>
      <x:c r="N2" s="74" t="n">
        <x:f>IF(E2&lt;=0,0,MIN(G2,E2*0.8)*0.01+MAX(0,MIN(G2,E2)-E2*0.8)*0.02)</x:f>
        <x:v>1092</x:v>
      </x:c>
      <x:c r="O2" s="74" t="n">
        <x:f>IF(E2&lt;=0,0,MAX(0,MIN(G2,E2*1.1)-E2)*0.035+MAX(0,G2-E2*1.1)*0.05)</x:f>
        <x:v>101.96199999999939</x:v>
      </x:c>
      <x:c r="P2" s="74" t="n">
        <x:f>N2+O2</x:f>
        <x:v>1193.9619999999993</x:v>
      </x:c>
      <x:c r="Q2" s="76" t="n">
        <x:f>IF(G2&lt;=0,0,P2/G2)</x:f>
        <x:v>0.012713463070154135</x:v>
      </x:c>
    </x:row>
    <x:row r="3">
      <x:c r="A3" s="56" t="str">
        <x:v>EMP001</x:v>
      </x:c>
      <x:c r="B3" s="56" t="str">
        <x:v>Omar Farouk</x:v>
      </x:c>
      <x:c r="C3" s="56" t="str">
        <x:v>AE II</x:v>
      </x:c>
      <x:c r="D3" s="56" t="str">
        <x:v>2026-02</x:v>
      </x:c>
      <x:c r="E3" s="72" t="n">
        <x:v>91000.00000000001</x:v>
      </x:c>
      <x:c r="F3" s="72" t="n">
        <x:v>94078.18000000001</x:v>
      </x:c>
      <x:c r="G3" s="72" t="n">
        <x:v>94078.18000000001</x:v>
      </x:c>
      <x:c r="H3" s="72" t="n">
        <x:v>0</x:v>
      </x:c>
      <x:c r="I3" s="56" t="n">
        <x:v>0</x:v>
      </x:c>
      <x:c r="J3" s="56" t="n">
        <x:v>0</x:v>
      </x:c>
      <x:c r="K3" s="68" t="n">
        <x:f>IF(E3&lt;=0,"",G3/E3)</x:f>
        <x:v>1.0338261538461537</x:v>
      </x:c>
      <x:c r="L3" t="str">
        <x:f>IF(K3="","Not Calculated",IF(K3&lt;0.8,"Below 80%",IF(K3&lt;1,"80%-99.99%",IF(K3&lt;1.1,"100%-109.99%",IF(K3&lt;1.75,"110%-174.99%","175%+ Review")))))</x:f>
        <x:v>100%-109.99%</x:v>
      </x:c>
      <x:c r="M3" s="56" t="str">
        <x:v>Ready for Commission Calculation</x:v>
      </x:c>
      <x:c r="N3" s="74" t="n">
        <x:f>IF(E3&lt;=0,0,MIN(G3,E3*0.8)*0.01+MAX(0,MIN(G3,E3)-E3*0.8)*0.02)</x:f>
        <x:v>1092</x:v>
      </x:c>
      <x:c r="O3" s="74" t="n">
        <x:f>IF(E3&lt;=0,0,MAX(0,MIN(G3,E3*1.1)-E3)*0.035+MAX(0,G3-E3*1.1)*0.05)</x:f>
        <x:v>107.73629999999977</x:v>
      </x:c>
      <x:c r="P3" s="74" t="n">
        <x:f>N3+O3</x:f>
        <x:v>1199.7362999999998</x:v>
      </x:c>
      <x:c r="Q3" s="76" t="n">
        <x:f>IF(G3&lt;=0,0,P3/G3)</x:f>
        <x:v>0.012752545808177834</x:v>
      </x:c>
    </x:row>
    <x:row r="4">
      <x:c r="A4" s="56" t="str">
        <x:v>EMP001</x:v>
      </x:c>
      <x:c r="B4" s="56" t="str">
        <x:v>Omar Farouk</x:v>
      </x:c>
      <x:c r="C4" s="56" t="str">
        <x:v>AE II</x:v>
      </x:c>
      <x:c r="D4" s="56" t="str">
        <x:v>2026-03</x:v>
      </x:c>
      <x:c r="E4" s="72" t="n">
        <x:v>104000</x:v>
      </x:c>
      <x:c r="F4" s="72" t="n">
        <x:v>117439.2</x:v>
      </x:c>
      <x:c r="G4" s="72" t="n">
        <x:v>117439.2</x:v>
      </x:c>
      <x:c r="H4" s="72" t="n">
        <x:v>0</x:v>
      </x:c>
      <x:c r="I4" s="56" t="n">
        <x:v>0</x:v>
      </x:c>
      <x:c r="J4" s="56" t="n">
        <x:v>0</x:v>
      </x:c>
      <x:c r="K4" s="68" t="n">
        <x:f>IF(E4&lt;=0,"",G4/E4)</x:f>
        <x:v>1.1292230769230769</x:v>
      </x:c>
      <x:c r="L4" t="str">
        <x:f>IF(K4="","Not Calculated",IF(K4&lt;0.8,"Below 80%",IF(K4&lt;1,"80%-99.99%",IF(K4&lt;1.1,"100%-109.99%",IF(K4&lt;1.75,"110%-174.99%","175%+ Review")))))</x:f>
        <x:v>110%-174.99%</x:v>
      </x:c>
      <x:c r="M4" s="56" t="str">
        <x:v>Ready for Commission Calculation</x:v>
      </x:c>
      <x:c r="N4" s="74" t="n">
        <x:f>IF(E4&lt;=0,0,MIN(G4,E4*0.8)*0.01+MAX(0,MIN(G4,E4)-E4*0.8)*0.02)</x:f>
        <x:v>1248</x:v>
      </x:c>
      <x:c r="O4" s="74" t="n">
        <x:f>IF(E4&lt;=0,0,MAX(0,MIN(G4,E4*1.1)-E4)*0.035+MAX(0,G4-E4*1.1)*0.05)</x:f>
        <x:v>515.9599999999997</x:v>
      </x:c>
      <x:c r="P4" s="74" t="n">
        <x:f>N4+O4</x:f>
        <x:v>1763.9599999999996</x:v>
      </x:c>
      <x:c r="Q4" s="76" t="n">
        <x:f>IF(G4&lt;=0,0,P4/G4)</x:f>
        <x:v>0.015020197685270333</x:v>
      </x:c>
    </x:row>
    <x:row r="5">
      <x:c r="A5" s="56" t="str">
        <x:v>EMP001</x:v>
      </x:c>
      <x:c r="B5" s="56" t="str">
        <x:v>Omar Farouk</x:v>
      </x:c>
      <x:c r="C5" s="56" t="str">
        <x:v>AE II</x:v>
      </x:c>
      <x:c r="D5" s="56" t="str">
        <x:v>2026-04</x:v>
      </x:c>
      <x:c r="E5" s="72" t="n">
        <x:v>104000</x:v>
      </x:c>
      <x:c r="F5" s="72" t="n">
        <x:v>112708.89000000001</x:v>
      </x:c>
      <x:c r="G5" s="72" t="n">
        <x:v>112164.45999999999</x:v>
      </x:c>
      <x:c r="H5" s="72" t="n">
        <x:v>544.43</x:v>
      </x:c>
      <x:c r="I5" s="56" t="n">
        <x:v>0</x:v>
      </x:c>
      <x:c r="J5" s="56" t="n">
        <x:v>0</x:v>
      </x:c>
      <x:c r="K5" s="68" t="n">
        <x:f>IF(E5&lt;=0,"",G5/E5)</x:f>
        <x:v>1.078504423076923</x:v>
      </x:c>
      <x:c r="L5" t="str">
        <x:f>IF(K5="","Not Calculated",IF(K5&lt;0.8,"Below 80%",IF(K5&lt;1,"80%-99.99%",IF(K5&lt;1.1,"100%-109.99%",IF(K5&lt;1.75,"110%-174.99%","175%+ Review")))))</x:f>
        <x:v>100%-109.99%</x:v>
      </x:c>
      <x:c r="M5" s="56" t="str">
        <x:v>Ready for Commission Calculation</x:v>
      </x:c>
      <x:c r="N5" s="74" t="n">
        <x:f>IF(E5&lt;=0,0,MIN(G5,E5*0.8)*0.01+MAX(0,MIN(G5,E5)-E5*0.8)*0.02)</x:f>
        <x:v>1248</x:v>
      </x:c>
      <x:c r="O5" s="74" t="n">
        <x:f>IF(E5&lt;=0,0,MAX(0,MIN(G5,E5*1.1)-E5)*0.035+MAX(0,G5-E5*1.1)*0.05)</x:f>
        <x:v>285.7560999999997</x:v>
      </x:c>
      <x:c r="P5" s="74" t="n">
        <x:f>N5+O5</x:f>
        <x:v>1533.7560999999996</x:v>
      </x:c>
      <x:c r="Q5" s="76" t="n">
        <x:f>IF(G5&lt;=0,0,P5/G5)</x:f>
        <x:v>0.013674171836604925</x:v>
      </x:c>
    </x:row>
    <x:row r="6">
      <x:c r="A6" s="56" t="str">
        <x:v>EMP001</x:v>
      </x:c>
      <x:c r="B6" s="56" t="str">
        <x:v>Omar Farouk</x:v>
      </x:c>
      <x:c r="C6" s="56" t="str">
        <x:v>AE II</x:v>
      </x:c>
      <x:c r="D6" s="56" t="str">
        <x:v>2026-05</x:v>
      </x:c>
      <x:c r="E6" s="72" t="n">
        <x:v>104000</x:v>
      </x:c>
      <x:c r="F6" s="72" t="n">
        <x:v>121466.04999999999</x:v>
      </x:c>
      <x:c r="G6" s="72" t="n">
        <x:v>121280.9</x:v>
      </x:c>
      <x:c r="H6" s="72" t="n">
        <x:v>185.15</x:v>
      </x:c>
      <x:c r="I6" s="56" t="n">
        <x:v>0</x:v>
      </x:c>
      <x:c r="J6" s="56" t="n">
        <x:v>0</x:v>
      </x:c>
      <x:c r="K6" s="68" t="n">
        <x:f>IF(E6&lt;=0,"",G6/E6)</x:f>
        <x:v>1.1661625</x:v>
      </x:c>
      <x:c r="L6" t="str">
        <x:f>IF(K6="","Not Calculated",IF(K6&lt;0.8,"Below 80%",IF(K6&lt;1,"80%-99.99%",IF(K6&lt;1.1,"100%-109.99%",IF(K6&lt;1.75,"110%-174.99%","175%+ Review")))))</x:f>
        <x:v>110%-174.99%</x:v>
      </x:c>
      <x:c r="M6" s="56" t="str">
        <x:v>Ready for Commission Calculation</x:v>
      </x:c>
      <x:c r="N6" s="74" t="n">
        <x:f>IF(E6&lt;=0,0,MIN(G6,E6*0.8)*0.01+MAX(0,MIN(G6,E6)-E6*0.8)*0.02)</x:f>
        <x:v>1248</x:v>
      </x:c>
      <x:c r="O6" s="74" t="n">
        <x:f>IF(E6&lt;=0,0,MAX(0,MIN(G6,E6*1.1)-E6)*0.035+MAX(0,G6-E6*1.1)*0.05)</x:f>
        <x:v>708.0449999999996</x:v>
      </x:c>
      <x:c r="P6" s="74" t="n">
        <x:f>N6+O6</x:f>
        <x:v>1956.0449999999996</x:v>
      </x:c>
      <x:c r="Q6" s="76" t="n">
        <x:f>IF(G6&lt;=0,0,P6/G6)</x:f>
        <x:v>0.016128219694939598</x:v>
      </x:c>
    </x:row>
    <x:row r="7">
      <x:c r="A7" s="56" t="str">
        <x:v>EMP001</x:v>
      </x:c>
      <x:c r="B7" s="56" t="str">
        <x:v>Omar Farouk</x:v>
      </x:c>
      <x:c r="C7" s="56" t="str">
        <x:v>AE II</x:v>
      </x:c>
      <x:c r="D7" s="56" t="str">
        <x:v>2026-06</x:v>
      </x:c>
      <x:c r="E7" s="72" t="n">
        <x:v>117000</x:v>
      </x:c>
      <x:c r="F7" s="72" t="n">
        <x:v>124578.84999999999</x:v>
      </x:c>
      <x:c r="G7" s="72" t="n">
        <x:v>124114.05999999998</x:v>
      </x:c>
      <x:c r="H7" s="72" t="n">
        <x:v>464.79</x:v>
      </x:c>
      <x:c r="I7" s="56" t="n">
        <x:v>0</x:v>
      </x:c>
      <x:c r="J7" s="56" t="n">
        <x:v>0</x:v>
      </x:c>
      <x:c r="K7" s="68" t="n">
        <x:f>IF(E7&lt;=0,"",G7/E7)</x:f>
        <x:v>1.0608039316239315</x:v>
      </x:c>
      <x:c r="L7" t="str">
        <x:f>IF(K7="","Not Calculated",IF(K7&lt;0.8,"Below 80%",IF(K7&lt;1,"80%-99.99%",IF(K7&lt;1.1,"100%-109.99%",IF(K7&lt;1.75,"110%-174.99%","175%+ Review")))))</x:f>
        <x:v>100%-109.99%</x:v>
      </x:c>
      <x:c r="M7" s="56" t="str">
        <x:v>Ready for Commission Calculation</x:v>
      </x:c>
      <x:c r="N7" s="74" t="n">
        <x:f>IF(E7&lt;=0,0,MIN(G7,E7*0.8)*0.01+MAX(0,MIN(G7,E7)-E7*0.8)*0.02)</x:f>
        <x:v>1404</x:v>
      </x:c>
      <x:c r="O7" s="74" t="n">
        <x:f>IF(E7&lt;=0,0,MAX(0,MIN(G7,E7*1.1)-E7)*0.035+MAX(0,G7-E7*1.1)*0.05)</x:f>
        <x:v>248.99209999999943</x:v>
      </x:c>
      <x:c r="P7" s="74" t="n">
        <x:f>N7+O7</x:f>
        <x:v>1652.9920999999995</x:v>
      </x:c>
      <x:c r="Q7" s="76" t="n">
        <x:f>IF(G7&lt;=0,0,P7/G7)</x:f>
        <x:v>0.013318330735454144</x:v>
      </x:c>
    </x:row>
    <x:row r="8">
      <x:c r="A8" s="56" t="str">
        <x:v>EMP001</x:v>
      </x:c>
      <x:c r="B8" s="56" t="str">
        <x:v>Omar Farouk</x:v>
      </x:c>
      <x:c r="C8" s="56" t="str">
        <x:v>AE II</x:v>
      </x:c>
      <x:c r="D8" s="56" t="str">
        <x:v>2026-07</x:v>
      </x:c>
      <x:c r="E8" s="72" t="n">
        <x:v>91000.00000000001</x:v>
      </x:c>
      <x:c r="F8" s="72" t="n">
        <x:v>97118.54</x:v>
      </x:c>
      <x:c r="G8" s="72" t="n">
        <x:v>95397.98999999999</x:v>
      </x:c>
      <x:c r="H8" s="72" t="n">
        <x:v>1720.55</x:v>
      </x:c>
      <x:c r="I8" s="56" t="n">
        <x:v>0</x:v>
      </x:c>
      <x:c r="J8" s="56" t="n">
        <x:v>0</x:v>
      </x:c>
      <x:c r="K8" s="68" t="n">
        <x:f>IF(E8&lt;=0,"",G8/E8)</x:f>
        <x:v>1.0483295604395602</x:v>
      </x:c>
      <x:c r="L8" t="str">
        <x:f>IF(K8="","Not Calculated",IF(K8&lt;0.8,"Below 80%",IF(K8&lt;1,"80%-99.99%",IF(K8&lt;1.1,"100%-109.99%",IF(K8&lt;1.75,"110%-174.99%","175%+ Review")))))</x:f>
        <x:v>100%-109.99%</x:v>
      </x:c>
      <x:c r="M8" s="56" t="str">
        <x:v>Ready for Commission Calculation</x:v>
      </x:c>
      <x:c r="N8" s="74" t="n">
        <x:f>IF(E8&lt;=0,0,MIN(G8,E8*0.8)*0.01+MAX(0,MIN(G8,E8)-E8*0.8)*0.02)</x:f>
        <x:v>1092</x:v>
      </x:c>
      <x:c r="O8" s="74" t="n">
        <x:f>IF(E8&lt;=0,0,MAX(0,MIN(G8,E8*1.1)-E8)*0.035+MAX(0,G8-E8*1.1)*0.05)</x:f>
        <x:v>153.92964999999919</x:v>
      </x:c>
      <x:c r="P8" s="74" t="n">
        <x:f>N8+O8</x:f>
        <x:v>1245.9296499999991</x:v>
      </x:c>
      <x:c r="Q8" s="76" t="n">
        <x:f>IF(G8&lt;=0,0,P8/G8)</x:f>
        <x:v>0.01306033439488609</x:v>
      </x:c>
    </x:row>
    <x:row r="9">
      <x:c r="A9" s="56" t="str">
        <x:v>EMP001</x:v>
      </x:c>
      <x:c r="B9" s="56" t="str">
        <x:v>Omar Farouk</x:v>
      </x:c>
      <x:c r="C9" s="56" t="str">
        <x:v>AE II</x:v>
      </x:c>
      <x:c r="D9" s="56" t="str">
        <x:v>2026-08</x:v>
      </x:c>
      <x:c r="E9" s="72" t="n">
        <x:v>91000.00000000001</x:v>
      </x:c>
      <x:c r="F9" s="72" t="n">
        <x:v>87602.68</x:v>
      </x:c>
      <x:c r="G9" s="72" t="n">
        <x:v>87602.68</x:v>
      </x:c>
      <x:c r="H9" s="72" t="n">
        <x:v>0</x:v>
      </x:c>
      <x:c r="I9" s="56" t="n">
        <x:v>0</x:v>
      </x:c>
      <x:c r="J9" s="56" t="n">
        <x:v>0</x:v>
      </x:c>
      <x:c r="K9" s="68" t="n">
        <x:f>IF(E9&lt;=0,"",G9/E9)</x:f>
        <x:v>0.9626668131868129</x:v>
      </x:c>
      <x:c r="L9" t="str">
        <x:f>IF(K9="","Not Calculated",IF(K9&lt;0.8,"Below 80%",IF(K9&lt;1,"80%-99.99%",IF(K9&lt;1.1,"100%-109.99%",IF(K9&lt;1.75,"110%-174.99%","175%+ Review")))))</x:f>
        <x:v>80%-99.99%</x:v>
      </x:c>
      <x:c r="M9" s="56" t="str">
        <x:v>Ready for Commission Calculation</x:v>
      </x:c>
      <x:c r="N9" s="74" t="n">
        <x:f>IF(E9&lt;=0,0,MIN(G9,E9*0.8)*0.01+MAX(0,MIN(G9,E9)-E9*0.8)*0.02)</x:f>
        <x:v>1024.0535999999997</x:v>
      </x:c>
      <x:c r="O9" s="74" t="n">
        <x:f>IF(E9&lt;=0,0,MAX(0,MIN(G9,E9*1.1)-E9)*0.035+MAX(0,G9-E9*1.1)*0.05)</x:f>
        <x:v>0</x:v>
      </x:c>
      <x:c r="P9" s="74" t="n">
        <x:f>N9+O9</x:f>
        <x:v>1024.0535999999997</x:v>
      </x:c>
      <x:c r="Q9" s="76" t="n">
        <x:f>IF(G9&lt;=0,0,P9/G9)</x:f>
        <x:v>0.011689751957360207</x:v>
      </x:c>
    </x:row>
    <x:row r="10">
      <x:c r="A10" s="56" t="str">
        <x:v>EMP001</x:v>
      </x:c>
      <x:c r="B10" s="56" t="str">
        <x:v>Omar Farouk</x:v>
      </x:c>
      <x:c r="C10" s="56" t="str">
        <x:v>AE II</x:v>
      </x:c>
      <x:c r="D10" s="56" t="str">
        <x:v>2026-09</x:v>
      </x:c>
      <x:c r="E10" s="72" t="n">
        <x:v>130000</x:v>
      </x:c>
      <x:c r="F10" s="72" t="n">
        <x:v>143667.38999999998</x:v>
      </x:c>
      <x:c r="G10" s="72" t="n">
        <x:v>143667.38999999998</x:v>
      </x:c>
      <x:c r="H10" s="72" t="n">
        <x:v>0</x:v>
      </x:c>
      <x:c r="I10" s="56" t="n">
        <x:v>0</x:v>
      </x:c>
      <x:c r="J10" s="56" t="n">
        <x:v>0</x:v>
      </x:c>
      <x:c r="K10" s="68" t="n">
        <x:f>IF(E10&lt;=0,"",G10/E10)</x:f>
        <x:v>1.1051337692307692</x:v>
      </x:c>
      <x:c r="L10" t="str">
        <x:f>IF(K10="","Not Calculated",IF(K10&lt;0.8,"Below 80%",IF(K10&lt;1,"80%-99.99%",IF(K10&lt;1.1,"100%-109.99%",IF(K10&lt;1.75,"110%-174.99%","175%+ Review")))))</x:f>
        <x:v>110%-174.99%</x:v>
      </x:c>
      <x:c r="M10" s="56" t="str">
        <x:v>Ready for Commission Calculation</x:v>
      </x:c>
      <x:c r="N10" s="74" t="n">
        <x:f>IF(E10&lt;=0,0,MIN(G10,E10*0.8)*0.01+MAX(0,MIN(G10,E10)-E10*0.8)*0.02)</x:f>
        <x:v>1560</x:v>
      </x:c>
      <x:c r="O10" s="74" t="n">
        <x:f>IF(E10&lt;=0,0,MAX(0,MIN(G10,E10*1.1)-E10)*0.035+MAX(0,G10-E10*1.1)*0.05)</x:f>
        <x:v>488.3694999999993</x:v>
      </x:c>
      <x:c r="P10" s="74" t="n">
        <x:f>N10+O10</x:f>
        <x:v>2048.3694999999993</x:v>
      </x:c>
      <x:c r="Q10" s="76" t="n">
        <x:f>IF(G10&lt;=0,0,P10/G10)</x:f>
        <x:v>0.014257720558576303</x:v>
      </x:c>
    </x:row>
    <x:row r="11">
      <x:c r="A11" s="56" t="str">
        <x:v>EMP001</x:v>
      </x:c>
      <x:c r="B11" s="56" t="str">
        <x:v>Omar Farouk</x:v>
      </x:c>
      <x:c r="C11" s="56" t="str">
        <x:v>AE II</x:v>
      </x:c>
      <x:c r="D11" s="56" t="str">
        <x:v>2026-10</x:v>
      </x:c>
      <x:c r="E11" s="72" t="n">
        <x:v>130000</x:v>
      </x:c>
      <x:c r="F11" s="72" t="n">
        <x:v>146219.36</x:v>
      </x:c>
      <x:c r="G11" s="72" t="n">
        <x:v>146136.06</x:v>
      </x:c>
      <x:c r="H11" s="72" t="n">
        <x:v>83.3</x:v>
      </x:c>
      <x:c r="I11" s="56" t="n">
        <x:v>0</x:v>
      </x:c>
      <x:c r="J11" s="56" t="n">
        <x:v>0</x:v>
      </x:c>
      <x:c r="K11" s="68" t="n">
        <x:f>IF(E11&lt;=0,"",G11/E11)</x:f>
        <x:v>1.1241235384615385</x:v>
      </x:c>
      <x:c r="L11" t="str">
        <x:f>IF(K11="","Not Calculated",IF(K11&lt;0.8,"Below 80%",IF(K11&lt;1,"80%-99.99%",IF(K11&lt;1.1,"100%-109.99%",IF(K11&lt;1.75,"110%-174.99%","175%+ Review")))))</x:f>
        <x:v>110%-174.99%</x:v>
      </x:c>
      <x:c r="M11" s="56" t="str">
        <x:v>Ready for Commission Calculation</x:v>
      </x:c>
      <x:c r="N11" s="74" t="n">
        <x:f>IF(E11&lt;=0,0,MIN(G11,E11*0.8)*0.01+MAX(0,MIN(G11,E11)-E11*0.8)*0.02)</x:f>
        <x:v>1560</x:v>
      </x:c>
      <x:c r="O11" s="74" t="n">
        <x:f>IF(E11&lt;=0,0,MAX(0,MIN(G11,E11*1.1)-E11)*0.035+MAX(0,G11-E11*1.1)*0.05)</x:f>
        <x:v>611.8029999999999</x:v>
      </x:c>
      <x:c r="P11" s="74" t="n">
        <x:f>N11+O11</x:f>
        <x:v>2171.803</x:v>
      </x:c>
      <x:c r="Q11" s="76" t="n">
        <x:f>IF(G11&lt;=0,0,P11/G11)</x:f>
        <x:v>0.014861513304792807</x:v>
      </x:c>
    </x:row>
    <x:row r="12">
      <x:c r="A12" s="56" t="str">
        <x:v>EMP001</x:v>
      </x:c>
      <x:c r="B12" s="56" t="str">
        <x:v>Omar Farouk</x:v>
      </x:c>
      <x:c r="C12" s="56" t="str">
        <x:v>AE II</x:v>
      </x:c>
      <x:c r="D12" s="56" t="str">
        <x:v>2026-11</x:v>
      </x:c>
      <x:c r="E12" s="72" t="n">
        <x:v>117000</x:v>
      </x:c>
      <x:c r="F12" s="72" t="n">
        <x:v>117525.41</x:v>
      </x:c>
      <x:c r="G12" s="72" t="n">
        <x:v>116965.9</x:v>
      </x:c>
      <x:c r="H12" s="72" t="n">
        <x:v>559.51</x:v>
      </x:c>
      <x:c r="I12" s="56" t="n">
        <x:v>0</x:v>
      </x:c>
      <x:c r="J12" s="56" t="n">
        <x:v>0</x:v>
      </x:c>
      <x:c r="K12" s="68" t="n">
        <x:f>IF(E12&lt;=0,"",G12/E12)</x:f>
        <x:v>0.9997085470085469</x:v>
      </x:c>
      <x:c r="L12" t="str">
        <x:f>IF(K12="","Not Calculated",IF(K12&lt;0.8,"Below 80%",IF(K12&lt;1,"80%-99.99%",IF(K12&lt;1.1,"100%-109.99%",IF(K12&lt;1.75,"110%-174.99%","175%+ Review")))))</x:f>
        <x:v>80%-99.99%</x:v>
      </x:c>
      <x:c r="M12" s="56" t="str">
        <x:v>Ready for Commission Calculation</x:v>
      </x:c>
      <x:c r="N12" s="74" t="n">
        <x:f>IF(E12&lt;=0,0,MIN(G12,E12*0.8)*0.01+MAX(0,MIN(G12,E12)-E12*0.8)*0.02)</x:f>
        <x:v>1403.3179999999998</x:v>
      </x:c>
      <x:c r="O12" s="74" t="n">
        <x:f>IF(E12&lt;=0,0,MAX(0,MIN(G12,E12*1.1)-E12)*0.035+MAX(0,G12-E12*1.1)*0.05)</x:f>
        <x:v>0</x:v>
      </x:c>
      <x:c r="P12" s="74" t="n">
        <x:f>N12+O12</x:f>
        <x:v>1403.3179999999998</x:v>
      </x:c>
      <x:c r="Q12" s="76" t="n">
        <x:f>IF(G12&lt;=0,0,P12/G12)</x:f>
        <x:v>0.011997667696311488</x:v>
      </x:c>
    </x:row>
    <x:row r="13">
      <x:c r="A13" s="56" t="str">
        <x:v>EMP001</x:v>
      </x:c>
      <x:c r="B13" s="56" t="str">
        <x:v>Omar Farouk</x:v>
      </x:c>
      <x:c r="C13" s="56" t="str">
        <x:v>AE II</x:v>
      </x:c>
      <x:c r="D13" s="56" t="str">
        <x:v>2026-12</x:v>
      </x:c>
      <x:c r="E13" s="72" t="n">
        <x:v>130000</x:v>
      </x:c>
      <x:c r="F13" s="72" t="n">
        <x:v>142184.37</x:v>
      </x:c>
      <x:c r="G13" s="72" t="n">
        <x:v>141553.31</x:v>
      </x:c>
      <x:c r="H13" s="72" t="n">
        <x:v>631.06</x:v>
      </x:c>
      <x:c r="I13" s="56" t="n">
        <x:v>0</x:v>
      </x:c>
      <x:c r="J13" s="56" t="n">
        <x:v>0</x:v>
      </x:c>
      <x:c r="K13" s="68" t="n">
        <x:f>IF(E13&lt;=0,"",G13/E13)</x:f>
        <x:v>1.0888716153846154</x:v>
      </x:c>
      <x:c r="L13" t="str">
        <x:f>IF(K13="","Not Calculated",IF(K13&lt;0.8,"Below 80%",IF(K13&lt;1,"80%-99.99%",IF(K13&lt;1.1,"100%-109.99%",IF(K13&lt;1.75,"110%-174.99%","175%+ Review")))))</x:f>
        <x:v>100%-109.99%</x:v>
      </x:c>
      <x:c r="M13" s="56" t="str">
        <x:v>Ready for Commission Calculation</x:v>
      </x:c>
      <x:c r="N13" s="74" t="n">
        <x:f>IF(E13&lt;=0,0,MIN(G13,E13*0.8)*0.01+MAX(0,MIN(G13,E13)-E13*0.8)*0.02)</x:f>
        <x:v>1560</x:v>
      </x:c>
      <x:c r="O13" s="74" t="n">
        <x:f>IF(E13&lt;=0,0,MAX(0,MIN(G13,E13*1.1)-E13)*0.035+MAX(0,G13-E13*1.1)*0.05)</x:f>
        <x:v>404.36584999999997</x:v>
      </x:c>
      <x:c r="P13" s="74" t="n">
        <x:f>N13+O13</x:f>
        <x:v>1964.36585</x:v>
      </x:c>
      <x:c r="Q13" s="76" t="n">
        <x:f>IF(G13&lt;=0,0,P13/G13)</x:f>
        <x:v>0.013877215940764649</x:v>
      </x:c>
    </x:row>
    <x:row r="14">
      <x:c r="A14" s="56" t="str">
        <x:v>EMP002</x:v>
      </x:c>
      <x:c r="B14" s="56" t="str">
        <x:v>Noah Patel</x:v>
      </x:c>
      <x:c r="C14" s="56" t="str">
        <x:v>AE I</x:v>
      </x:c>
      <x:c r="D14" s="56" t="str">
        <x:v>2026-01</x:v>
      </x:c>
      <x:c r="E14" s="72" t="n">
        <x:v>74200</x:v>
      </x:c>
      <x:c r="F14" s="72" t="n">
        <x:v>74352.53</x:v>
      </x:c>
      <x:c r="G14" s="72" t="n">
        <x:v>74029.16</x:v>
      </x:c>
      <x:c r="H14" s="72" t="n">
        <x:v>323.37</x:v>
      </x:c>
      <x:c r="I14" s="56" t="n">
        <x:v>0</x:v>
      </x:c>
      <x:c r="J14" s="56" t="n">
        <x:v>0</x:v>
      </x:c>
      <x:c r="K14" s="68" t="n">
        <x:f>IF(E14&lt;=0,"",G14/E14)</x:f>
        <x:v>0.9976975741239893</x:v>
      </x:c>
      <x:c r="L14" t="str">
        <x:f>IF(K14="","Not Calculated",IF(K14&lt;0.8,"Below 80%",IF(K14&lt;1,"80%-99.99%",IF(K14&lt;1.1,"100%-109.99%",IF(K14&lt;1.75,"110%-174.99%","175%+ Review")))))</x:f>
        <x:v>80%-99.99%</x:v>
      </x:c>
      <x:c r="M14" s="56" t="str">
        <x:v>Ready for Commission Calculation</x:v>
      </x:c>
      <x:c r="N14" s="74" t="n">
        <x:f>IF(E14&lt;=0,0,MIN(G14,E14*0.8)*0.01+MAX(0,MIN(G14,E14)-E14*0.8)*0.02)</x:f>
        <x:v>886.9832000000001</x:v>
      </x:c>
      <x:c r="O14" s="74" t="n">
        <x:f>IF(E14&lt;=0,0,MAX(0,MIN(G14,E14*1.1)-E14)*0.035+MAX(0,G14-E14*1.1)*0.05)</x:f>
        <x:v>0</x:v>
      </x:c>
      <x:c r="P14" s="74" t="n">
        <x:f>N14+O14</x:f>
        <x:v>886.9832000000001</x:v>
      </x:c>
      <x:c r="Q14" s="76" t="n">
        <x:f>IF(G14&lt;=0,0,P14/G14)</x:f>
        <x:v>0.011981538085802946</x:v>
      </x:c>
    </x:row>
    <x:row r="15">
      <x:c r="A15" s="56" t="str">
        <x:v>EMP002</x:v>
      </x:c>
      <x:c r="B15" s="56" t="str">
        <x:v>Noah Patel</x:v>
      </x:c>
      <x:c r="C15" s="56" t="str">
        <x:v>AE I</x:v>
      </x:c>
      <x:c r="D15" s="56" t="str">
        <x:v>2026-02</x:v>
      </x:c>
      <x:c r="E15" s="72" t="n">
        <x:v>74200</x:v>
      </x:c>
      <x:c r="F15" s="72" t="n">
        <x:v>78183.65000000001</x:v>
      </x:c>
      <x:c r="G15" s="72" t="n">
        <x:v>77343.51000000001</x:v>
      </x:c>
      <x:c r="H15" s="72" t="n">
        <x:v>840.14</x:v>
      </x:c>
      <x:c r="I15" s="56" t="n">
        <x:v>0</x:v>
      </x:c>
      <x:c r="J15" s="56" t="n">
        <x:v>0</x:v>
      </x:c>
      <x:c r="K15" s="68" t="n">
        <x:f>IF(E15&lt;=0,"",G15/E15)</x:f>
        <x:v>1.0423653638814017</x:v>
      </x:c>
      <x:c r="L15" t="str">
        <x:f>IF(K15="","Not Calculated",IF(K15&lt;0.8,"Below 80%",IF(K15&lt;1,"80%-99.99%",IF(K15&lt;1.1,"100%-109.99%",IF(K15&lt;1.75,"110%-174.99%","175%+ Review")))))</x:f>
        <x:v>100%-109.99%</x:v>
      </x:c>
      <x:c r="M15" s="56" t="str">
        <x:v>Ready for Commission Calculation</x:v>
      </x:c>
      <x:c r="N15" s="74" t="n">
        <x:f>IF(E15&lt;=0,0,MIN(G15,E15*0.8)*0.01+MAX(0,MIN(G15,E15)-E15*0.8)*0.02)</x:f>
        <x:v>890.4000000000001</x:v>
      </x:c>
      <x:c r="O15" s="74" t="n">
        <x:f>IF(E15&lt;=0,0,MAX(0,MIN(G15,E15*1.1)-E15)*0.035+MAX(0,G15-E15*1.1)*0.05)</x:f>
        <x:v>110.02285000000033</x:v>
      </x:c>
      <x:c r="P15" s="74" t="n">
        <x:f>N15+O15</x:f>
        <x:v>1000.4228500000004</x:v>
      </x:c>
      <x:c r="Q15" s="76" t="n">
        <x:f>IF(G15&lt;=0,0,P15/G15)</x:f>
        <x:v>0.012934800217885125</x:v>
      </x:c>
    </x:row>
    <x:row r="16">
      <x:c r="A16" s="56" t="str">
        <x:v>EMP002</x:v>
      </x:c>
      <x:c r="B16" s="56" t="str">
        <x:v>Noah Patel</x:v>
      </x:c>
      <x:c r="C16" s="56" t="str">
        <x:v>AE I</x:v>
      </x:c>
      <x:c r="D16" s="56" t="str">
        <x:v>2026-03</x:v>
      </x:c>
      <x:c r="E16" s="72" t="n">
        <x:v>84800</x:v>
      </x:c>
      <x:c r="F16" s="72" t="n">
        <x:v>83290.7</x:v>
      </x:c>
      <x:c r="G16" s="72" t="n">
        <x:v>83290.7</x:v>
      </x:c>
      <x:c r="H16" s="72" t="n">
        <x:v>0</x:v>
      </x:c>
      <x:c r="I16" s="56" t="n">
        <x:v>0</x:v>
      </x:c>
      <x:c r="J16" s="56" t="n">
        <x:v>0</x:v>
      </x:c>
      <x:c r="K16" s="68" t="n">
        <x:f>IF(E16&lt;=0,"",G16/E16)</x:f>
        <x:v>0.9822016509433962</x:v>
      </x:c>
      <x:c r="L16" t="str">
        <x:f>IF(K16="","Not Calculated",IF(K16&lt;0.8,"Below 80%",IF(K16&lt;1,"80%-99.99%",IF(K16&lt;1.1,"100%-109.99%",IF(K16&lt;1.75,"110%-174.99%","175%+ Review")))))</x:f>
        <x:v>80%-99.99%</x:v>
      </x:c>
      <x:c r="M16" s="56" t="str">
        <x:v>Ready for Commission Calculation</x:v>
      </x:c>
      <x:c r="N16" s="74" t="n">
        <x:f>IF(E16&lt;=0,0,MIN(G16,E16*0.8)*0.01+MAX(0,MIN(G16,E16)-E16*0.8)*0.02)</x:f>
        <x:v>987.414</x:v>
      </x:c>
      <x:c r="O16" s="74" t="n">
        <x:f>IF(E16&lt;=0,0,MAX(0,MIN(G16,E16*1.1)-E16)*0.035+MAX(0,G16-E16*1.1)*0.05)</x:f>
        <x:v>0</x:v>
      </x:c>
      <x:c r="P16" s="74" t="n">
        <x:f>N16+O16</x:f>
        <x:v>987.414</x:v>
      </x:c>
      <x:c r="Q16" s="76" t="n">
        <x:f>IF(G16&lt;=0,0,P16/G16)</x:f>
        <x:v>0.011855033034900656</x:v>
      </x:c>
    </x:row>
    <x:row r="17">
      <x:c r="A17" s="56" t="str">
        <x:v>EMP002</x:v>
      </x:c>
      <x:c r="B17" s="56" t="str">
        <x:v>Noah Patel</x:v>
      </x:c>
      <x:c r="C17" s="56" t="str">
        <x:v>AE I</x:v>
      </x:c>
      <x:c r="D17" s="56" t="str">
        <x:v>2026-04</x:v>
      </x:c>
      <x:c r="E17" s="72" t="n">
        <x:v>84800</x:v>
      </x:c>
      <x:c r="F17" s="72" t="n">
        <x:v>86698.18000000001</x:v>
      </x:c>
      <x:c r="G17" s="72" t="n">
        <x:v>86698.18000000001</x:v>
      </x:c>
      <x:c r="H17" s="72" t="n">
        <x:v>0</x:v>
      </x:c>
      <x:c r="I17" s="56" t="n">
        <x:v>0</x:v>
      </x:c>
      <x:c r="J17" s="56" t="n">
        <x:v>0</x:v>
      </x:c>
      <x:c r="K17" s="68" t="n">
        <x:f>IF(E17&lt;=0,"",G17/E17)</x:f>
        <x:v>1.0223841981132076</x:v>
      </x:c>
      <x:c r="L17" t="str">
        <x:f>IF(K17="","Not Calculated",IF(K17&lt;0.8,"Below 80%",IF(K17&lt;1,"80%-99.99%",IF(K17&lt;1.1,"100%-109.99%",IF(K17&lt;1.75,"110%-174.99%","175%+ Review")))))</x:f>
        <x:v>100%-109.99%</x:v>
      </x:c>
      <x:c r="M17" s="56" t="str">
        <x:v>Ready for Commission Calculation</x:v>
      </x:c>
      <x:c r="N17" s="74" t="n">
        <x:f>IF(E17&lt;=0,0,MIN(G17,E17*0.8)*0.01+MAX(0,MIN(G17,E17)-E17*0.8)*0.02)</x:f>
        <x:v>1017.5999999999999</x:v>
      </x:c>
      <x:c r="O17" s="74" t="n">
        <x:f>IF(E17&lt;=0,0,MAX(0,MIN(G17,E17*1.1)-E17)*0.035+MAX(0,G17-E17*1.1)*0.05)</x:f>
        <x:v>66.43630000000027</x:v>
      </x:c>
      <x:c r="P17" s="74" t="n">
        <x:f>N17+O17</x:f>
        <x:v>1084.0363000000002</x:v>
      </x:c>
      <x:c r="Q17" s="76" t="n">
        <x:f>IF(G17&lt;=0,0,P17/G17)</x:f>
        <x:v>0.012503564665371293</x:v>
      </x:c>
    </x:row>
    <x:row r="18">
      <x:c r="A18" s="56" t="str">
        <x:v>EMP002</x:v>
      </x:c>
      <x:c r="B18" s="56" t="str">
        <x:v>Noah Patel</x:v>
      </x:c>
      <x:c r="C18" s="56" t="str">
        <x:v>AE I</x:v>
      </x:c>
      <x:c r="D18" s="56" t="str">
        <x:v>2026-05</x:v>
      </x:c>
      <x:c r="E18" s="72" t="n">
        <x:v>84800</x:v>
      </x:c>
      <x:c r="F18" s="72" t="n">
        <x:v>107347.19000000002</x:v>
      </x:c>
      <x:c r="G18" s="72" t="n">
        <x:v>106984.28000000001</x:v>
      </x:c>
      <x:c r="H18" s="72" t="n">
        <x:v>362.91</x:v>
      </x:c>
      <x:c r="I18" s="56" t="n">
        <x:v>0</x:v>
      </x:c>
      <x:c r="J18" s="56" t="n">
        <x:v>0</x:v>
      </x:c>
      <x:c r="K18" s="68" t="n">
        <x:f>IF(E18&lt;=0,"",G18/E18)</x:f>
        <x:v>1.2616070754716984</x:v>
      </x:c>
      <x:c r="L18" t="str">
        <x:f>IF(K18="","Not Calculated",IF(K18&lt;0.8,"Below 80%",IF(K18&lt;1,"80%-99.99%",IF(K18&lt;1.1,"100%-109.99%",IF(K18&lt;1.75,"110%-174.99%","175%+ Review")))))</x:f>
        <x:v>110%-174.99%</x:v>
      </x:c>
      <x:c r="M18" s="56" t="str">
        <x:v>Ready for Commission Calculation</x:v>
      </x:c>
      <x:c r="N18" s="74" t="n">
        <x:f>IF(E18&lt;=0,0,MIN(G18,E18*0.8)*0.01+MAX(0,MIN(G18,E18)-E18*0.8)*0.02)</x:f>
        <x:v>1017.5999999999999</x:v>
      </x:c>
      <x:c r="O18" s="74" t="n">
        <x:f>IF(E18&lt;=0,0,MAX(0,MIN(G18,E18*1.1)-E18)*0.035+MAX(0,G18-E18*1.1)*0.05)</x:f>
        <x:v>982.0140000000005</x:v>
      </x:c>
      <x:c r="P18" s="74" t="n">
        <x:f>N18+O18</x:f>
        <x:v>1999.6140000000005</x:v>
      </x:c>
      <x:c r="Q18" s="76" t="n">
        <x:f>IF(G18&lt;=0,0,P18/G18)</x:f>
        <x:v>0.01869072727320313</x:v>
      </x:c>
    </x:row>
    <x:row r="19">
      <x:c r="A19" s="56" t="str">
        <x:v>EMP002</x:v>
      </x:c>
      <x:c r="B19" s="56" t="str">
        <x:v>Noah Patel</x:v>
      </x:c>
      <x:c r="C19" s="56" t="str">
        <x:v>AE I</x:v>
      </x:c>
      <x:c r="D19" s="56" t="str">
        <x:v>2026-06</x:v>
      </x:c>
      <x:c r="E19" s="72" t="n">
        <x:v>95400</x:v>
      </x:c>
      <x:c r="F19" s="72" t="n">
        <x:v>107836.83</x:v>
      </x:c>
      <x:c r="G19" s="72" t="n">
        <x:v>106695.95</x:v>
      </x:c>
      <x:c r="H19" s="72" t="n">
        <x:v>1140.88</x:v>
      </x:c>
      <x:c r="I19" s="56" t="n">
        <x:v>0</x:v>
      </x:c>
      <x:c r="J19" s="56" t="n">
        <x:v>0</x:v>
      </x:c>
      <x:c r="K19" s="68" t="n">
        <x:f>IF(E19&lt;=0,"",G19/E19)</x:f>
        <x:v>1.118406184486373</x:v>
      </x:c>
      <x:c r="L19" t="str">
        <x:f>IF(K19="","Not Calculated",IF(K19&lt;0.8,"Below 80%",IF(K19&lt;1,"80%-99.99%",IF(K19&lt;1.1,"100%-109.99%",IF(K19&lt;1.75,"110%-174.99%","175%+ Review")))))</x:f>
        <x:v>110%-174.99%</x:v>
      </x:c>
      <x:c r="M19" s="56" t="str">
        <x:v>Ready for Commission Calculation</x:v>
      </x:c>
      <x:c r="N19" s="74" t="n">
        <x:f>IF(E19&lt;=0,0,MIN(G19,E19*0.8)*0.01+MAX(0,MIN(G19,E19)-E19*0.8)*0.02)</x:f>
        <x:v>1144.8000000000002</x:v>
      </x:c>
      <x:c r="O19" s="74" t="n">
        <x:f>IF(E19&lt;=0,0,MAX(0,MIN(G19,E19*1.1)-E19)*0.035+MAX(0,G19-E19*1.1)*0.05)</x:f>
        <x:v>421.69749999999965</x:v>
      </x:c>
      <x:c r="P19" s="74" t="n">
        <x:f>N19+O19</x:f>
        <x:v>1566.4975</x:v>
      </x:c>
      <x:c r="Q19" s="76" t="n">
        <x:f>IF(G19&lt;=0,0,P19/G19)</x:f>
        <x:v>0.014681883426690516</x:v>
      </x:c>
    </x:row>
    <x:row r="20">
      <x:c r="A20" s="56" t="str">
        <x:v>EMP002</x:v>
      </x:c>
      <x:c r="B20" s="56" t="str">
        <x:v>Noah Patel</x:v>
      </x:c>
      <x:c r="C20" s="56" t="str">
        <x:v>AE I</x:v>
      </x:c>
      <x:c r="D20" s="56" t="str">
        <x:v>2026-07</x:v>
      </x:c>
      <x:c r="E20" s="72" t="n">
        <x:v>74200</x:v>
      </x:c>
      <x:c r="F20" s="72" t="n">
        <x:v>69767.77</x:v>
      </x:c>
      <x:c r="G20" s="72" t="n">
        <x:v>69767.77</x:v>
      </x:c>
      <x:c r="H20" s="72" t="n">
        <x:v>0</x:v>
      </x:c>
      <x:c r="I20" s="56" t="n">
        <x:v>0</x:v>
      </x:c>
      <x:c r="J20" s="56" t="n">
        <x:v>0</x:v>
      </x:c>
      <x:c r="K20" s="68" t="n">
        <x:f>IF(E20&lt;=0,"",G20/E20)</x:f>
        <x:v>0.9402664420485176</x:v>
      </x:c>
      <x:c r="L20" t="str">
        <x:f>IF(K20="","Not Calculated",IF(K20&lt;0.8,"Below 80%",IF(K20&lt;1,"80%-99.99%",IF(K20&lt;1.1,"100%-109.99%",IF(K20&lt;1.75,"110%-174.99%","175%+ Review")))))</x:f>
        <x:v>80%-99.99%</x:v>
      </x:c>
      <x:c r="M20" s="56" t="str">
        <x:v>Ready for Commission Calculation</x:v>
      </x:c>
      <x:c r="N20" s="74" t="n">
        <x:f>IF(E20&lt;=0,0,MIN(G20,E20*0.8)*0.01+MAX(0,MIN(G20,E20)-E20*0.8)*0.02)</x:f>
        <x:v>801.7554000000001</x:v>
      </x:c>
      <x:c r="O20" s="74" t="n">
        <x:f>IF(E20&lt;=0,0,MAX(0,MIN(G20,E20*1.1)-E20)*0.035+MAX(0,G20-E20*1.1)*0.05)</x:f>
        <x:v>0</x:v>
      </x:c>
      <x:c r="P20" s="74" t="n">
        <x:f>N20+O20</x:f>
        <x:v>801.7554000000001</x:v>
      </x:c>
      <x:c r="Q20" s="76" t="n">
        <x:f>IF(G20&lt;=0,0,P20/G20)</x:f>
        <x:v>0.011491773350359342</x:v>
      </x:c>
    </x:row>
    <x:row r="21">
      <x:c r="A21" s="56" t="str">
        <x:v>EMP002</x:v>
      </x:c>
      <x:c r="B21" s="56" t="str">
        <x:v>Noah Patel</x:v>
      </x:c>
      <x:c r="C21" s="56" t="str">
        <x:v>AE I</x:v>
      </x:c>
      <x:c r="D21" s="56" t="str">
        <x:v>2026-08</x:v>
      </x:c>
      <x:c r="E21" s="72" t="n">
        <x:v>74200</x:v>
      </x:c>
      <x:c r="F21" s="72" t="n">
        <x:v>70519.62999999999</x:v>
      </x:c>
      <x:c r="G21" s="72" t="n">
        <x:v>69000.12</x:v>
      </x:c>
      <x:c r="H21" s="72" t="n">
        <x:v>1519.51</x:v>
      </x:c>
      <x:c r="I21" s="56" t="n">
        <x:v>0</x:v>
      </x:c>
      <x:c r="J21" s="56" t="n">
        <x:v>0</x:v>
      </x:c>
      <x:c r="K21" s="68" t="n">
        <x:f>IF(E21&lt;=0,"",G21/E21)</x:f>
        <x:v>0.9299207547169811</x:v>
      </x:c>
      <x:c r="L21" t="str">
        <x:f>IF(K21="","Not Calculated",IF(K21&lt;0.8,"Below 80%",IF(K21&lt;1,"80%-99.99%",IF(K21&lt;1.1,"100%-109.99%",IF(K21&lt;1.75,"110%-174.99%","175%+ Review")))))</x:f>
        <x:v>80%-99.99%</x:v>
      </x:c>
      <x:c r="M21" s="56" t="str">
        <x:v>Ready for Commission Calculation</x:v>
      </x:c>
      <x:c r="N21" s="74" t="n">
        <x:f>IF(E21&lt;=0,0,MIN(G21,E21*0.8)*0.01+MAX(0,MIN(G21,E21)-E21*0.8)*0.02)</x:f>
        <x:v>786.4024</x:v>
      </x:c>
      <x:c r="O21" s="74" t="n">
        <x:f>IF(E21&lt;=0,0,MAX(0,MIN(G21,E21*1.1)-E21)*0.035+MAX(0,G21-E21*1.1)*0.05)</x:f>
        <x:v>0</x:v>
      </x:c>
      <x:c r="P21" s="74" t="n">
        <x:f>N21+O21</x:f>
        <x:v>786.4024</x:v>
      </x:c>
      <x:c r="Q21" s="76" t="n">
        <x:f>IF(G21&lt;=0,0,P21/G21)</x:f>
        <x:v>0.01139711641081204</x:v>
      </x:c>
    </x:row>
    <x:row r="22">
      <x:c r="A22" s="56" t="str">
        <x:v>EMP002</x:v>
      </x:c>
      <x:c r="B22" s="56" t="str">
        <x:v>Noah Patel</x:v>
      </x:c>
      <x:c r="C22" s="56" t="str">
        <x:v>AE I</x:v>
      </x:c>
      <x:c r="D22" s="56" t="str">
        <x:v>2026-09</x:v>
      </x:c>
      <x:c r="E22" s="72" t="n">
        <x:v>106000</x:v>
      </x:c>
      <x:c r="F22" s="72" t="n">
        <x:v>103102.26</x:v>
      </x:c>
      <x:c r="G22" s="72" t="n">
        <x:v>103102.26</x:v>
      </x:c>
      <x:c r="H22" s="72" t="n">
        <x:v>0</x:v>
      </x:c>
      <x:c r="I22" s="56" t="n">
        <x:v>0</x:v>
      </x:c>
      <x:c r="J22" s="56" t="n">
        <x:v>0</x:v>
      </x:c>
      <x:c r="K22" s="68" t="n">
        <x:f>IF(E22&lt;=0,"",G22/E22)</x:f>
        <x:v>0.9726628301886792</x:v>
      </x:c>
      <x:c r="L22" t="str">
        <x:f>IF(K22="","Not Calculated",IF(K22&lt;0.8,"Below 80%",IF(K22&lt;1,"80%-99.99%",IF(K22&lt;1.1,"100%-109.99%",IF(K22&lt;1.75,"110%-174.99%","175%+ Review")))))</x:f>
        <x:v>80%-99.99%</x:v>
      </x:c>
      <x:c r="M22" s="56" t="str">
        <x:v>Ready for Commission Calculation</x:v>
      </x:c>
      <x:c r="N22" s="74" t="n">
        <x:f>IF(E22&lt;=0,0,MIN(G22,E22*0.8)*0.01+MAX(0,MIN(G22,E22)-E22*0.8)*0.02)</x:f>
        <x:v>1214.0452</x:v>
      </x:c>
      <x:c r="O22" s="74" t="n">
        <x:f>IF(E22&lt;=0,0,MAX(0,MIN(G22,E22*1.1)-E22)*0.035+MAX(0,G22-E22*1.1)*0.05)</x:f>
        <x:v>0</x:v>
      </x:c>
      <x:c r="P22" s="74" t="n">
        <x:f>N22+O22</x:f>
        <x:v>1214.0452</x:v>
      </x:c>
      <x:c r="Q22" s="76" t="n">
        <x:f>IF(G22&lt;=0,0,P22/G22)</x:f>
        <x:v>0.011775156044106115</x:v>
      </x:c>
    </x:row>
    <x:row r="23">
      <x:c r="A23" s="56" t="str">
        <x:v>EMP002</x:v>
      </x:c>
      <x:c r="B23" s="56" t="str">
        <x:v>Noah Patel</x:v>
      </x:c>
      <x:c r="C23" s="56" t="str">
        <x:v>AE I</x:v>
      </x:c>
      <x:c r="D23" s="56" t="str">
        <x:v>2026-10</x:v>
      </x:c>
      <x:c r="E23" s="72" t="n">
        <x:v>106000</x:v>
      </x:c>
      <x:c r="F23" s="72" t="n">
        <x:v>111415.45</x:v>
      </x:c>
      <x:c r="G23" s="72" t="n">
        <x:v>110940.13</x:v>
      </x:c>
      <x:c r="H23" s="72" t="n">
        <x:v>475.32</x:v>
      </x:c>
      <x:c r="I23" s="56" t="n">
        <x:v>0</x:v>
      </x:c>
      <x:c r="J23" s="56" t="n">
        <x:v>0</x:v>
      </x:c>
      <x:c r="K23" s="68" t="n">
        <x:f>IF(E23&lt;=0,"",G23/E23)</x:f>
        <x:v>1.046605</x:v>
      </x:c>
      <x:c r="L23" t="str">
        <x:f>IF(K23="","Not Calculated",IF(K23&lt;0.8,"Below 80%",IF(K23&lt;1,"80%-99.99%",IF(K23&lt;1.1,"100%-109.99%",IF(K23&lt;1.75,"110%-174.99%","175%+ Review")))))</x:f>
        <x:v>100%-109.99%</x:v>
      </x:c>
      <x:c r="M23" s="56" t="str">
        <x:v>Ready for Commission Calculation</x:v>
      </x:c>
      <x:c r="N23" s="74" t="n">
        <x:f>IF(E23&lt;=0,0,MIN(G23,E23*0.8)*0.01+MAX(0,MIN(G23,E23)-E23*0.8)*0.02)</x:f>
        <x:v>1272</x:v>
      </x:c>
      <x:c r="O23" s="74" t="n">
        <x:f>IF(E23&lt;=0,0,MAX(0,MIN(G23,E23*1.1)-E23)*0.035+MAX(0,G23-E23*1.1)*0.05)</x:f>
        <x:v>172.90455000000017</x:v>
      </x:c>
      <x:c r="P23" s="74" t="n">
        <x:f>N23+O23</x:f>
        <x:v>1444.9045500000002</x:v>
      </x:c>
      <x:c r="Q23" s="76" t="n">
        <x:f>IF(G23&lt;=0,0,P23/G23)</x:f>
        <x:v>0.013024182953454266</x:v>
      </x:c>
    </x:row>
    <x:row r="24">
      <x:c r="A24" s="56" t="str">
        <x:v>EMP002</x:v>
      </x:c>
      <x:c r="B24" s="56" t="str">
        <x:v>Noah Patel</x:v>
      </x:c>
      <x:c r="C24" s="56" t="str">
        <x:v>AE I</x:v>
      </x:c>
      <x:c r="D24" s="56" t="str">
        <x:v>2026-11</x:v>
      </x:c>
      <x:c r="E24" s="72" t="n">
        <x:v>95400</x:v>
      </x:c>
      <x:c r="F24" s="72" t="n">
        <x:v>109085.64000000003</x:v>
      </x:c>
      <x:c r="G24" s="72" t="n">
        <x:v>109085.64000000003</x:v>
      </x:c>
      <x:c r="H24" s="72" t="n">
        <x:v>0</x:v>
      </x:c>
      <x:c r="I24" s="56" t="n">
        <x:v>0</x:v>
      </x:c>
      <x:c r="J24" s="56" t="n">
        <x:v>0</x:v>
      </x:c>
      <x:c r="K24" s="68" t="n">
        <x:f>IF(E24&lt;=0,"",G24/E24)</x:f>
        <x:v>1.14345534591195</x:v>
      </x:c>
      <x:c r="L24" t="str">
        <x:f>IF(K24="","Not Calculated",IF(K24&lt;0.8,"Below 80%",IF(K24&lt;1,"80%-99.99%",IF(K24&lt;1.1,"100%-109.99%",IF(K24&lt;1.75,"110%-174.99%","175%+ Review")))))</x:f>
        <x:v>110%-174.99%</x:v>
      </x:c>
      <x:c r="M24" s="56" t="str">
        <x:v>Ready for Commission Calculation</x:v>
      </x:c>
      <x:c r="N24" s="74" t="n">
        <x:f>IF(E24&lt;=0,0,MIN(G24,E24*0.8)*0.01+MAX(0,MIN(G24,E24)-E24*0.8)*0.02)</x:f>
        <x:v>1144.8000000000002</x:v>
      </x:c>
      <x:c r="O24" s="74" t="n">
        <x:f>IF(E24&lt;=0,0,MAX(0,MIN(G24,E24*1.1)-E24)*0.035+MAX(0,G24-E24*1.1)*0.05)</x:f>
        <x:v>541.1820000000013</x:v>
      </x:c>
      <x:c r="P24" s="74" t="n">
        <x:f>N24+O24</x:f>
        <x:v>1685.9820000000013</x:v>
      </x:c>
      <x:c r="Q24" s="76" t="n">
        <x:f>IF(G24&lt;=0,0,P24/G24)</x:f>
        <x:v>0.01545558150458668</x:v>
      </x:c>
    </x:row>
    <x:row r="25">
      <x:c r="A25" s="56" t="str">
        <x:v>EMP002</x:v>
      </x:c>
      <x:c r="B25" s="56" t="str">
        <x:v>Noah Patel</x:v>
      </x:c>
      <x:c r="C25" s="56" t="str">
        <x:v>AE I</x:v>
      </x:c>
      <x:c r="D25" s="56" t="str">
        <x:v>2026-12</x:v>
      </x:c>
      <x:c r="E25" s="72" t="n">
        <x:v>106000</x:v>
      </x:c>
      <x:c r="F25" s="72" t="n">
        <x:v>123390.53</x:v>
      </x:c>
      <x:c r="G25" s="72" t="n">
        <x:v>123390.53</x:v>
      </x:c>
      <x:c r="H25" s="72" t="n">
        <x:v>0</x:v>
      </x:c>
      <x:c r="I25" s="56" t="n">
        <x:v>0</x:v>
      </x:c>
      <x:c r="J25" s="56" t="n">
        <x:v>0</x:v>
      </x:c>
      <x:c r="K25" s="68" t="n">
        <x:f>IF(E25&lt;=0,"",G25/E25)</x:f>
        <x:v>1.164061603773585</x:v>
      </x:c>
      <x:c r="L25" t="str">
        <x:f>IF(K25="","Not Calculated",IF(K25&lt;0.8,"Below 80%",IF(K25&lt;1,"80%-99.99%",IF(K25&lt;1.1,"100%-109.99%",IF(K25&lt;1.75,"110%-174.99%","175%+ Review")))))</x:f>
        <x:v>110%-174.99%</x:v>
      </x:c>
      <x:c r="M25" s="56" t="str">
        <x:v>Ready for Commission Calculation</x:v>
      </x:c>
      <x:c r="N25" s="74" t="n">
        <x:f>IF(E25&lt;=0,0,MIN(G25,E25*0.8)*0.01+MAX(0,MIN(G25,E25)-E25*0.8)*0.02)</x:f>
        <x:v>1272</x:v>
      </x:c>
      <x:c r="O25" s="74" t="n">
        <x:f>IF(E25&lt;=0,0,MAX(0,MIN(G25,E25*1.1)-E25)*0.035+MAX(0,G25-E25*1.1)*0.05)</x:f>
        <x:v>710.5264999999998</x:v>
      </x:c>
      <x:c r="P25" s="74" t="n">
        <x:f>N25+O25</x:f>
        <x:v>1982.5265</x:v>
      </x:c>
      <x:c r="Q25" s="76" t="n">
        <x:f>IF(G25&lt;=0,0,P25/G25)</x:f>
        <x:v>0.016067087968582354</x:v>
      </x:c>
    </x:row>
    <x:row r="26">
      <x:c r="A26" s="56" t="str">
        <x:v>EMP003</x:v>
      </x:c>
      <x:c r="B26" s="56" t="str">
        <x:v>Olivia Martin</x:v>
      </x:c>
      <x:c r="C26" s="56" t="str">
        <x:v>AE I</x:v>
      </x:c>
      <x:c r="D26" s="56" t="str">
        <x:v>2026-01</x:v>
      </x:c>
      <x:c r="E26" s="72" t="n">
        <x:v>65100.00000000001</x:v>
      </x:c>
      <x:c r="F26" s="72" t="n">
        <x:v>64599.57000000001</x:v>
      </x:c>
      <x:c r="G26" s="72" t="n">
        <x:v>64369.44000000001</x:v>
      </x:c>
      <x:c r="H26" s="72" t="n">
        <x:v>230.13</x:v>
      </x:c>
      <x:c r="I26" s="56" t="n">
        <x:v>0</x:v>
      </x:c>
      <x:c r="J26" s="56" t="n">
        <x:v>0</x:v>
      </x:c>
      <x:c r="K26" s="68" t="n">
        <x:f>IF(E26&lt;=0,"",G26/E26)</x:f>
        <x:v>0.9887778801843319</x:v>
      </x:c>
      <x:c r="L26" t="str">
        <x:f>IF(K26="","Not Calculated",IF(K26&lt;0.8,"Below 80%",IF(K26&lt;1,"80%-99.99%",IF(K26&lt;1.1,"100%-109.99%",IF(K26&lt;1.75,"110%-174.99%","175%+ Review")))))</x:f>
        <x:v>80%-99.99%</x:v>
      </x:c>
      <x:c r="M26" s="56" t="str">
        <x:v>Ready for Commission Calculation</x:v>
      </x:c>
      <x:c r="N26" s="74" t="n">
        <x:f>IF(E26&lt;=0,0,MIN(G26,E26*0.8)*0.01+MAX(0,MIN(G26,E26)-E26*0.8)*0.02)</x:f>
        <x:v>766.5888000000001</x:v>
      </x:c>
      <x:c r="O26" s="74" t="n">
        <x:f>IF(E26&lt;=0,0,MAX(0,MIN(G26,E26*1.1)-E26)*0.035+MAX(0,G26-E26*1.1)*0.05)</x:f>
        <x:v>0</x:v>
      </x:c>
      <x:c r="P26" s="74" t="n">
        <x:f>N26+O26</x:f>
        <x:v>766.5888000000001</x:v>
      </x:c>
      <x:c r="Q26" s="76" t="n">
        <x:f>IF(G26&lt;=0,0,P26/G26)</x:f>
        <x:v>0.011909204119221792</x:v>
      </x:c>
    </x:row>
    <x:row r="27">
      <x:c r="A27" s="56" t="str">
        <x:v>EMP003</x:v>
      </x:c>
      <x:c r="B27" s="56" t="str">
        <x:v>Olivia Martin</x:v>
      </x:c>
      <x:c r="C27" s="56" t="str">
        <x:v>AE I</x:v>
      </x:c>
      <x:c r="D27" s="56" t="str">
        <x:v>2026-02</x:v>
      </x:c>
      <x:c r="E27" s="72" t="n">
        <x:v>65100.00000000001</x:v>
      </x:c>
      <x:c r="F27" s="72" t="n">
        <x:v>65524.65</x:v>
      </x:c>
      <x:c r="G27" s="72" t="n">
        <x:v>65311.14</x:v>
      </x:c>
      <x:c r="H27" s="72" t="n">
        <x:v>213.51</x:v>
      </x:c>
      <x:c r="I27" s="56" t="n">
        <x:v>0</x:v>
      </x:c>
      <x:c r="J27" s="56" t="n">
        <x:v>0</x:v>
      </x:c>
      <x:c r="K27" s="68" t="n">
        <x:f>IF(E27&lt;=0,"",G27/E27)</x:f>
        <x:v>1.0032433179723501</x:v>
      </x:c>
      <x:c r="L27" t="str">
        <x:f>IF(K27="","Not Calculated",IF(K27&lt;0.8,"Below 80%",IF(K27&lt;1,"80%-99.99%",IF(K27&lt;1.1,"100%-109.99%",IF(K27&lt;1.75,"110%-174.99%","175%+ Review")))))</x:f>
        <x:v>100%-109.99%</x:v>
      </x:c>
      <x:c r="M27" s="56" t="str">
        <x:v>Ready for Commission Calculation</x:v>
      </x:c>
      <x:c r="N27" s="74" t="n">
        <x:f>IF(E27&lt;=0,0,MIN(G27,E27*0.8)*0.01+MAX(0,MIN(G27,E27)-E27*0.8)*0.02)</x:f>
        <x:v>781.2</x:v>
      </x:c>
      <x:c r="O27" s="74" t="n">
        <x:f>IF(E27&lt;=0,0,MAX(0,MIN(G27,E27*1.1)-E27)*0.035+MAX(0,G27-E27*1.1)*0.05)</x:f>
        <x:v>7.3898999999997255</x:v>
      </x:c>
      <x:c r="P27" s="74" t="n">
        <x:f>N27+O27</x:f>
        <x:v>788.5898999999997</x:v>
      </x:c>
      <x:c r="Q27" s="76" t="n">
        <x:f>IF(G27&lt;=0,0,P27/G27)</x:f>
        <x:v>0.01207435515595042</x:v>
      </x:c>
    </x:row>
    <x:row r="28">
      <x:c r="A28" s="56" t="str">
        <x:v>EMP003</x:v>
      </x:c>
      <x:c r="B28" s="56" t="str">
        <x:v>Olivia Martin</x:v>
      </x:c>
      <x:c r="C28" s="56" t="str">
        <x:v>AE I</x:v>
      </x:c>
      <x:c r="D28" s="56" t="str">
        <x:v>2026-03</x:v>
      </x:c>
      <x:c r="E28" s="72" t="n">
        <x:v>74400</x:v>
      </x:c>
      <x:c r="F28" s="72" t="n">
        <x:v>80003.14</x:v>
      </x:c>
      <x:c r="G28" s="72" t="n">
        <x:v>80003.14</x:v>
      </x:c>
      <x:c r="H28" s="72" t="n">
        <x:v>0</x:v>
      </x:c>
      <x:c r="I28" s="56" t="n">
        <x:v>0</x:v>
      </x:c>
      <x:c r="J28" s="56" t="n">
        <x:v>0</x:v>
      </x:c>
      <x:c r="K28" s="68" t="n">
        <x:f>IF(E28&lt;=0,"",G28/E28)</x:f>
        <x:v>1.0753110215053763</x:v>
      </x:c>
      <x:c r="L28" t="str">
        <x:f>IF(K28="","Not Calculated",IF(K28&lt;0.8,"Below 80%",IF(K28&lt;1,"80%-99.99%",IF(K28&lt;1.1,"100%-109.99%",IF(K28&lt;1.75,"110%-174.99%","175%+ Review")))))</x:f>
        <x:v>100%-109.99%</x:v>
      </x:c>
      <x:c r="M28" s="56" t="str">
        <x:v>Ready for Commission Calculation</x:v>
      </x:c>
      <x:c r="N28" s="74" t="n">
        <x:f>IF(E28&lt;=0,0,MIN(G28,E28*0.8)*0.01+MAX(0,MIN(G28,E28)-E28*0.8)*0.02)</x:f>
        <x:v>892.8000000000001</x:v>
      </x:c>
      <x:c r="O28" s="74" t="n">
        <x:f>IF(E28&lt;=0,0,MAX(0,MIN(G28,E28*1.1)-E28)*0.035+MAX(0,G28-E28*1.1)*0.05)</x:f>
        <x:v>196.1099</x:v>
      </x:c>
      <x:c r="P28" s="74" t="n">
        <x:f>N28+O28</x:f>
        <x:v>1088.9099</x:v>
      </x:c>
      <x:c r="Q28" s="76" t="n">
        <x:f>IF(G28&lt;=0,0,P28/G28)</x:f>
        <x:v>0.013610839524548663</x:v>
      </x:c>
    </x:row>
    <x:row r="29">
      <x:c r="A29" s="56" t="str">
        <x:v>EMP003</x:v>
      </x:c>
      <x:c r="B29" s="56" t="str">
        <x:v>Olivia Martin</x:v>
      </x:c>
      <x:c r="C29" s="56" t="str">
        <x:v>AE I</x:v>
      </x:c>
      <x:c r="D29" s="56" t="str">
        <x:v>2026-04</x:v>
      </x:c>
      <x:c r="E29" s="72" t="n">
        <x:v>74400</x:v>
      </x:c>
      <x:c r="F29" s="72" t="n">
        <x:v>81833.47</x:v>
      </x:c>
      <x:c r="G29" s="72" t="n">
        <x:v>81562.38</x:v>
      </x:c>
      <x:c r="H29" s="72" t="n">
        <x:v>271.09</x:v>
      </x:c>
      <x:c r="I29" s="56" t="n">
        <x:v>0</x:v>
      </x:c>
      <x:c r="J29" s="56" t="n">
        <x:v>0</x:v>
      </x:c>
      <x:c r="K29" s="68" t="n">
        <x:f>IF(E29&lt;=0,"",G29/E29)</x:f>
        <x:v>1.0962685483870969</x:v>
      </x:c>
      <x:c r="L29" t="str">
        <x:f>IF(K29="","Not Calculated",IF(K29&lt;0.8,"Below 80%",IF(K29&lt;1,"80%-99.99%",IF(K29&lt;1.1,"100%-109.99%",IF(K29&lt;1.75,"110%-174.99%","175%+ Review")))))</x:f>
        <x:v>100%-109.99%</x:v>
      </x:c>
      <x:c r="M29" s="56" t="str">
        <x:v>Ready for Commission Calculation</x:v>
      </x:c>
      <x:c r="N29" s="74" t="n">
        <x:f>IF(E29&lt;=0,0,MIN(G29,E29*0.8)*0.01+MAX(0,MIN(G29,E29)-E29*0.8)*0.02)</x:f>
        <x:v>892.8000000000001</x:v>
      </x:c>
      <x:c r="O29" s="74" t="n">
        <x:f>IF(E29&lt;=0,0,MAX(0,MIN(G29,E29*1.1)-E29)*0.035+MAX(0,G29-E29*1.1)*0.05)</x:f>
        <x:v>250.68330000000017</x:v>
      </x:c>
      <x:c r="P29" s="74" t="n">
        <x:f>N29+O29</x:f>
        <x:v>1143.4833000000003</x:v>
      </x:c>
      <x:c r="Q29" s="76" t="n">
        <x:f>IF(G29&lt;=0,0,P29/G29)</x:f>
        <x:v>0.01401973924743246</x:v>
      </x:c>
    </x:row>
    <x:row r="30">
      <x:c r="A30" s="56" t="str">
        <x:v>EMP003</x:v>
      </x:c>
      <x:c r="B30" s="56" t="str">
        <x:v>Olivia Martin</x:v>
      </x:c>
      <x:c r="C30" s="56" t="str">
        <x:v>AE I</x:v>
      </x:c>
      <x:c r="D30" s="56" t="str">
        <x:v>2026-05</x:v>
      </x:c>
      <x:c r="E30" s="72" t="n">
        <x:v>74400</x:v>
      </x:c>
      <x:c r="F30" s="72" t="n">
        <x:v>69866.07</x:v>
      </x:c>
      <x:c r="G30" s="72" t="n">
        <x:v>69503.45000000001</x:v>
      </x:c>
      <x:c r="H30" s="72" t="n">
        <x:v>362.62</x:v>
      </x:c>
      <x:c r="I30" s="56" t="n">
        <x:v>0</x:v>
      </x:c>
      <x:c r="J30" s="56" t="n">
        <x:v>0</x:v>
      </x:c>
      <x:c r="K30" s="68" t="n">
        <x:f>IF(E30&lt;=0,"",G30/E30)</x:f>
        <x:v>0.9341861559139787</x:v>
      </x:c>
      <x:c r="L30" t="str">
        <x:f>IF(K30="","Not Calculated",IF(K30&lt;0.8,"Below 80%",IF(K30&lt;1,"80%-99.99%",IF(K30&lt;1.1,"100%-109.99%",IF(K30&lt;1.75,"110%-174.99%","175%+ Review")))))</x:f>
        <x:v>80%-99.99%</x:v>
      </x:c>
      <x:c r="M30" s="56" t="str">
        <x:v>Ready for Commission Calculation</x:v>
      </x:c>
      <x:c r="N30" s="74" t="n">
        <x:f>IF(E30&lt;=0,0,MIN(G30,E30*0.8)*0.01+MAX(0,MIN(G30,E30)-E30*0.8)*0.02)</x:f>
        <x:v>794.8690000000003</x:v>
      </x:c>
      <x:c r="O30" s="74" t="n">
        <x:f>IF(E30&lt;=0,0,MAX(0,MIN(G30,E30*1.1)-E30)*0.035+MAX(0,G30-E30*1.1)*0.05)</x:f>
        <x:v>0</x:v>
      </x:c>
      <x:c r="P30" s="74" t="n">
        <x:f>N30+O30</x:f>
        <x:v>794.8690000000003</x:v>
      </x:c>
      <x:c r="Q30" s="76" t="n">
        <x:f>IF(G30&lt;=0,0,P30/G30)</x:f>
        <x:v>0.011436396322772468</x:v>
      </x:c>
    </x:row>
    <x:row r="31">
      <x:c r="A31" s="56" t="str">
        <x:v>EMP003</x:v>
      </x:c>
      <x:c r="B31" s="56" t="str">
        <x:v>Olivia Martin</x:v>
      </x:c>
      <x:c r="C31" s="56" t="str">
        <x:v>AE I</x:v>
      </x:c>
      <x:c r="D31" s="56" t="str">
        <x:v>2026-06</x:v>
      </x:c>
      <x:c r="E31" s="72" t="n">
        <x:v>83700</x:v>
      </x:c>
      <x:c r="F31" s="72" t="n">
        <x:v>85435.96</x:v>
      </x:c>
      <x:c r="G31" s="72" t="n">
        <x:v>85203.69</x:v>
      </x:c>
      <x:c r="H31" s="72" t="n">
        <x:v>232.27</x:v>
      </x:c>
      <x:c r="I31" s="56" t="n">
        <x:v>0</x:v>
      </x:c>
      <x:c r="J31" s="56" t="n">
        <x:v>0</x:v>
      </x:c>
      <x:c r="K31" s="68" t="n">
        <x:f>IF(E31&lt;=0,"",G31/E31)</x:f>
        <x:v>1.0179652329749105</x:v>
      </x:c>
      <x:c r="L31" t="str">
        <x:f>IF(K31="","Not Calculated",IF(K31&lt;0.8,"Below 80%",IF(K31&lt;1,"80%-99.99%",IF(K31&lt;1.1,"100%-109.99%",IF(K31&lt;1.75,"110%-174.99%","175%+ Review")))))</x:f>
        <x:v>100%-109.99%</x:v>
      </x:c>
      <x:c r="M31" s="56" t="str">
        <x:v>Ready for Commission Calculation</x:v>
      </x:c>
      <x:c r="N31" s="74" t="n">
        <x:f>IF(E31&lt;=0,0,MIN(G31,E31*0.8)*0.01+MAX(0,MIN(G31,E31)-E31*0.8)*0.02)</x:f>
        <x:v>1004.4000000000001</x:v>
      </x:c>
      <x:c r="O31" s="74" t="n">
        <x:f>IF(E31&lt;=0,0,MAX(0,MIN(G31,E31*1.1)-E31)*0.035+MAX(0,G31-E31*1.1)*0.05)</x:f>
        <x:v>52.62915000000009</x:v>
      </x:c>
      <x:c r="P31" s="74" t="n">
        <x:f>N31+O31</x:f>
        <x:v>1057.02915</x:v>
      </x:c>
      <x:c r="Q31" s="76" t="n">
        <x:f>IF(G31&lt;=0,0,P31/G31)</x:f>
        <x:v>0.012405908124401654</x:v>
      </x:c>
    </x:row>
    <x:row r="32">
      <x:c r="A32" s="56" t="str">
        <x:v>EMP003</x:v>
      </x:c>
      <x:c r="B32" s="56" t="str">
        <x:v>Olivia Martin</x:v>
      </x:c>
      <x:c r="C32" s="56" t="str">
        <x:v>AE I</x:v>
      </x:c>
      <x:c r="D32" s="56" t="str">
        <x:v>2026-07</x:v>
      </x:c>
      <x:c r="E32" s="72" t="n">
        <x:v>65100.00000000001</x:v>
      </x:c>
      <x:c r="F32" s="72" t="n">
        <x:v>66332.3</x:v>
      </x:c>
      <x:c r="G32" s="72" t="n">
        <x:v>66332.3</x:v>
      </x:c>
      <x:c r="H32" s="72" t="n">
        <x:v>0</x:v>
      </x:c>
      <x:c r="I32" s="56" t="n">
        <x:v>0</x:v>
      </x:c>
      <x:c r="J32" s="56" t="n">
        <x:v>0</x:v>
      </x:c>
      <x:c r="K32" s="68" t="n">
        <x:f>IF(E32&lt;=0,"",G32/E32)</x:f>
        <x:v>1.0189293394777266</x:v>
      </x:c>
      <x:c r="L32" t="str">
        <x:f>IF(K32="","Not Calculated",IF(K32&lt;0.8,"Below 80%",IF(K32&lt;1,"80%-99.99%",IF(K32&lt;1.1,"100%-109.99%",IF(K32&lt;1.75,"110%-174.99%","175%+ Review")))))</x:f>
        <x:v>100%-109.99%</x:v>
      </x:c>
      <x:c r="M32" s="56" t="str">
        <x:v>Ready for Commission Calculation</x:v>
      </x:c>
      <x:c r="N32" s="74" t="n">
        <x:f>IF(E32&lt;=0,0,MIN(G32,E32*0.8)*0.01+MAX(0,MIN(G32,E32)-E32*0.8)*0.02)</x:f>
        <x:v>781.2</x:v>
      </x:c>
      <x:c r="O32" s="74" t="n">
        <x:f>IF(E32&lt;=0,0,MAX(0,MIN(G32,E32*1.1)-E32)*0.035+MAX(0,G32-E32*1.1)*0.05)</x:f>
        <x:v>43.13049999999985</x:v>
      </x:c>
      <x:c r="P32" s="74" t="n">
        <x:f>N32+O32</x:f>
        <x:v>824.3304999999999</x:v>
      </x:c>
      <x:c r="Q32" s="76" t="n">
        <x:f>IF(G32&lt;=0,0,P32/G32)</x:f>
        <x:v>0.012427286555720212</x:v>
      </x:c>
    </x:row>
    <x:row r="33">
      <x:c r="A33" s="56" t="str">
        <x:v>EMP003</x:v>
      </x:c>
      <x:c r="B33" s="56" t="str">
        <x:v>Olivia Martin</x:v>
      </x:c>
      <x:c r="C33" s="56" t="str">
        <x:v>AE I</x:v>
      </x:c>
      <x:c r="D33" s="56" t="str">
        <x:v>2026-08</x:v>
      </x:c>
      <x:c r="E33" s="72" t="n">
        <x:v>65100.00000000001</x:v>
      </x:c>
      <x:c r="F33" s="72" t="n">
        <x:v>54057.810000000005</x:v>
      </x:c>
      <x:c r="G33" s="72" t="n">
        <x:v>53145.840000000004</x:v>
      </x:c>
      <x:c r="H33" s="72" t="n">
        <x:v>911.97</x:v>
      </x:c>
      <x:c r="I33" s="56" t="n">
        <x:v>0</x:v>
      </x:c>
      <x:c r="J33" s="56" t="n">
        <x:v>0</x:v>
      </x:c>
      <x:c r="K33" s="68" t="n">
        <x:f>IF(E33&lt;=0,"",G33/E33)</x:f>
        <x:v>0.8163723502304148</x:v>
      </x:c>
      <x:c r="L33" t="str">
        <x:f>IF(K33="","Not Calculated",IF(K33&lt;0.8,"Below 80%",IF(K33&lt;1,"80%-99.99%",IF(K33&lt;1.1,"100%-109.99%",IF(K33&lt;1.75,"110%-174.99%","175%+ Review")))))</x:f>
        <x:v>80%-99.99%</x:v>
      </x:c>
      <x:c r="M33" s="56" t="str">
        <x:v>Ready for Commission Calculation</x:v>
      </x:c>
      <x:c r="N33" s="74" t="n">
        <x:f>IF(E33&lt;=0,0,MIN(G33,E33*0.8)*0.01+MAX(0,MIN(G33,E33)-E33*0.8)*0.02)</x:f>
        <x:v>542.1168</x:v>
      </x:c>
      <x:c r="O33" s="74" t="n">
        <x:f>IF(E33&lt;=0,0,MAX(0,MIN(G33,E33*1.1)-E33)*0.035+MAX(0,G33-E33*1.1)*0.05)</x:f>
        <x:v>0</x:v>
      </x:c>
      <x:c r="P33" s="74" t="n">
        <x:f>N33+O33</x:f>
        <x:v>542.1168</x:v>
      </x:c>
      <x:c r="Q33" s="76" t="n">
        <x:f>IF(G33&lt;=0,0,P33/G33)</x:f>
        <x:v>0.010200550033643273</x:v>
      </x:c>
    </x:row>
    <x:row r="34">
      <x:c r="A34" s="56" t="str">
        <x:v>EMP003</x:v>
      </x:c>
      <x:c r="B34" s="56" t="str">
        <x:v>Olivia Martin</x:v>
      </x:c>
      <x:c r="C34" s="56" t="str">
        <x:v>AE I</x:v>
      </x:c>
      <x:c r="D34" s="56" t="str">
        <x:v>2026-09</x:v>
      </x:c>
      <x:c r="E34" s="72" t="n">
        <x:v>93000</x:v>
      </x:c>
      <x:c r="F34" s="72" t="n">
        <x:v>102851.23999999999</x:v>
      </x:c>
      <x:c r="G34" s="72" t="n">
        <x:v>101025.24999999999</x:v>
      </x:c>
      <x:c r="H34" s="72" t="n">
        <x:v>1825.9899999999998</x:v>
      </x:c>
      <x:c r="I34" s="56" t="n">
        <x:v>0</x:v>
      </x:c>
      <x:c r="J34" s="56" t="n">
        <x:v>0</x:v>
      </x:c>
      <x:c r="K34" s="68" t="n">
        <x:f>IF(E34&lt;=0,"",G34/E34)</x:f>
        <x:v>1.086293010752688</x:v>
      </x:c>
      <x:c r="L34" t="str">
        <x:f>IF(K34="","Not Calculated",IF(K34&lt;0.8,"Below 80%",IF(K34&lt;1,"80%-99.99%",IF(K34&lt;1.1,"100%-109.99%",IF(K34&lt;1.75,"110%-174.99%","175%+ Review")))))</x:f>
        <x:v>100%-109.99%</x:v>
      </x:c>
      <x:c r="M34" s="56" t="str">
        <x:v>Ready for Commission Calculation</x:v>
      </x:c>
      <x:c r="N34" s="74" t="n">
        <x:f>IF(E34&lt;=0,0,MIN(G34,E34*0.8)*0.01+MAX(0,MIN(G34,E34)-E34*0.8)*0.02)</x:f>
        <x:v>1116</x:v>
      </x:c>
      <x:c r="O34" s="74" t="n">
        <x:f>IF(E34&lt;=0,0,MAX(0,MIN(G34,E34*1.1)-E34)*0.035+MAX(0,G34-E34*1.1)*0.05)</x:f>
        <x:v>280.8837499999995</x:v>
      </x:c>
      <x:c r="P34" s="74" t="n">
        <x:f>N34+O34</x:f>
        <x:v>1396.8837499999995</x:v>
      </x:c>
      <x:c r="Q34" s="76" t="n">
        <x:f>IF(G34&lt;=0,0,P34/G34)</x:f>
        <x:v>0.013827075409365477</x:v>
      </x:c>
    </x:row>
    <x:row r="35">
      <x:c r="A35" s="56" t="str">
        <x:v>EMP003</x:v>
      </x:c>
      <x:c r="B35" s="56" t="str">
        <x:v>Olivia Martin</x:v>
      </x:c>
      <x:c r="C35" s="56" t="str">
        <x:v>AE I</x:v>
      </x:c>
      <x:c r="D35" s="56" t="str">
        <x:v>2026-10</x:v>
      </x:c>
      <x:c r="E35" s="72" t="n">
        <x:v>93000</x:v>
      </x:c>
      <x:c r="F35" s="72" t="n">
        <x:v>101925.59999999999</x:v>
      </x:c>
      <x:c r="G35" s="72" t="n">
        <x:v>101925.59999999999</x:v>
      </x:c>
      <x:c r="H35" s="72" t="n">
        <x:v>0</x:v>
      </x:c>
      <x:c r="I35" s="56" t="n">
        <x:v>0</x:v>
      </x:c>
      <x:c r="J35" s="56" t="n">
        <x:v>0</x:v>
      </x:c>
      <x:c r="K35" s="68" t="n">
        <x:f>IF(E35&lt;=0,"",G35/E35)</x:f>
        <x:v>1.095974193548387</x:v>
      </x:c>
      <x:c r="L35" t="str">
        <x:f>IF(K35="","Not Calculated",IF(K35&lt;0.8,"Below 80%",IF(K35&lt;1,"80%-99.99%",IF(K35&lt;1.1,"100%-109.99%",IF(K35&lt;1.75,"110%-174.99%","175%+ Review")))))</x:f>
        <x:v>100%-109.99%</x:v>
      </x:c>
      <x:c r="M35" s="56" t="str">
        <x:v>Ready for Commission Calculation</x:v>
      </x:c>
      <x:c r="N35" s="74" t="n">
        <x:f>IF(E35&lt;=0,0,MIN(G35,E35*0.8)*0.01+MAX(0,MIN(G35,E35)-E35*0.8)*0.02)</x:f>
        <x:v>1116</x:v>
      </x:c>
      <x:c r="O35" s="74" t="n">
        <x:f>IF(E35&lt;=0,0,MAX(0,MIN(G35,E35*1.1)-E35)*0.035+MAX(0,G35-E35*1.1)*0.05)</x:f>
        <x:v>312.39599999999973</x:v>
      </x:c>
      <x:c r="P35" s="74" t="n">
        <x:f>N35+O35</x:f>
        <x:v>1428.3959999999997</x:v>
      </x:c>
      <x:c r="Q35" s="76" t="n">
        <x:f>IF(G35&lt;=0,0,P35/G35)</x:f>
        <x:v>0.014014104405566412</x:v>
      </x:c>
    </x:row>
    <x:row r="36">
      <x:c r="A36" s="56" t="str">
        <x:v>EMP003</x:v>
      </x:c>
      <x:c r="B36" s="56" t="str">
        <x:v>Olivia Martin</x:v>
      </x:c>
      <x:c r="C36" s="56" t="str">
        <x:v>AE I</x:v>
      </x:c>
      <x:c r="D36" s="56" t="str">
        <x:v>2026-11</x:v>
      </x:c>
      <x:c r="E36" s="72" t="n">
        <x:v>83700</x:v>
      </x:c>
      <x:c r="F36" s="72" t="n">
        <x:v>112373.50999999998</x:v>
      </x:c>
      <x:c r="G36" s="72" t="n">
        <x:v>77496.20999999999</x:v>
      </x:c>
      <x:c r="H36" s="72" t="n">
        <x:v>0</x:v>
      </x:c>
      <x:c r="I36" s="56" t="n">
        <x:v>0</x:v>
      </x:c>
      <x:c r="J36" s="56" t="n">
        <x:v>2</x:v>
      </x:c>
      <x:c r="K36" s="68" t="n">
        <x:f>IF(E36&lt;=0,"",G36/E36)</x:f>
        <x:v>0.9258806451612902</x:v>
      </x:c>
      <x:c r="L36" t="str">
        <x:f>IF(K36="","Not Calculated",IF(K36&lt;0.8,"Below 80%",IF(K36&lt;1,"80%-99.99%",IF(K36&lt;1.1,"100%-109.99%",IF(K36&lt;1.75,"110%-174.99%","175%+ Review")))))</x:f>
        <x:v>80%-99.99%</x:v>
      </x:c>
      <x:c r="M36" s="56" t="str">
        <x:v>HOLD - Sales Credit</x:v>
      </x:c>
      <x:c r="N36" s="74" t="n">
        <x:f>IF(E36&lt;=0,0,MIN(G36,E36*0.8)*0.01+MAX(0,MIN(G36,E36)-E36*0.8)*0.02)</x:f>
        <x:v>880.3241999999999</x:v>
      </x:c>
      <x:c r="O36" s="74" t="n">
        <x:f>IF(E36&lt;=0,0,MAX(0,MIN(G36,E36*1.1)-E36)*0.035+MAX(0,G36-E36*1.1)*0.05)</x:f>
        <x:v>0</x:v>
      </x:c>
      <x:c r="P36" s="74" t="n">
        <x:f>N36+O36</x:f>
        <x:v>880.3241999999999</x:v>
      </x:c>
      <x:c r="Q36" s="76" t="n">
        <x:f>IF(G36&lt;=0,0,P36/G36)</x:f>
        <x:v>0.011359577455465241</x:v>
      </x:c>
    </x:row>
    <x:row r="37">
      <x:c r="A37" s="56" t="str">
        <x:v>EMP003</x:v>
      </x:c>
      <x:c r="B37" s="56" t="str">
        <x:v>Olivia Martin</x:v>
      </x:c>
      <x:c r="C37" s="56" t="str">
        <x:v>AE I</x:v>
      </x:c>
      <x:c r="D37" s="56" t="str">
        <x:v>2026-12</x:v>
      </x:c>
      <x:c r="E37" s="72" t="n">
        <x:v>93000</x:v>
      </x:c>
      <x:c r="F37" s="72" t="n">
        <x:v>99984.95999999999</x:v>
      </x:c>
      <x:c r="G37" s="72" t="n">
        <x:v>99397.18</x:v>
      </x:c>
      <x:c r="H37" s="72" t="n">
        <x:v>587.78</x:v>
      </x:c>
      <x:c r="I37" s="56" t="n">
        <x:v>0</x:v>
      </x:c>
      <x:c r="J37" s="56" t="n">
        <x:v>0</x:v>
      </x:c>
      <x:c r="K37" s="68" t="n">
        <x:f>IF(E37&lt;=0,"",G37/E37)</x:f>
        <x:v>1.06878688172043</x:v>
      </x:c>
      <x:c r="L37" t="str">
        <x:f>IF(K37="","Not Calculated",IF(K37&lt;0.8,"Below 80%",IF(K37&lt;1,"80%-99.99%",IF(K37&lt;1.1,"100%-109.99%",IF(K37&lt;1.75,"110%-174.99%","175%+ Review")))))</x:f>
        <x:v>100%-109.99%</x:v>
      </x:c>
      <x:c r="M37" s="56" t="str">
        <x:v>Ready for Commission Calculation</x:v>
      </x:c>
      <x:c r="N37" s="74" t="n">
        <x:f>IF(E37&lt;=0,0,MIN(G37,E37*0.8)*0.01+MAX(0,MIN(G37,E37)-E37*0.8)*0.02)</x:f>
        <x:v>1116</x:v>
      </x:c>
      <x:c r="O37" s="74" t="n">
        <x:f>IF(E37&lt;=0,0,MAX(0,MIN(G37,E37*1.1)-E37)*0.035+MAX(0,G37-E37*1.1)*0.05)</x:f>
        <x:v>223.90129999999976</x:v>
      </x:c>
      <x:c r="P37" s="74" t="n">
        <x:f>N37+O37</x:f>
        <x:v>1339.9012999999998</x:v>
      </x:c>
      <x:c r="Q37" s="76" t="n">
        <x:f>IF(G37&lt;=0,0,P37/G37)</x:f>
        <x:v>0.013480274792504172</x:v>
      </x:c>
    </x:row>
    <x:row r="38">
      <x:c r="A38" s="56" t="str">
        <x:v>EMP004</x:v>
      </x:c>
      <x:c r="B38" s="56" t="str">
        <x:v>Ethan Wong</x:v>
      </x:c>
      <x:c r="C38" s="56" t="str">
        <x:v>AE I</x:v>
      </x:c>
      <x:c r="D38" s="56" t="str">
        <x:v>2026-01</x:v>
      </x:c>
      <x:c r="E38" s="72" t="n">
        <x:v>70700</x:v>
      </x:c>
      <x:c r="F38" s="72" t="n">
        <x:v>91477.56999999999</x:v>
      </x:c>
      <x:c r="G38" s="72" t="n">
        <x:v>91477.56999999999</x:v>
      </x:c>
      <x:c r="H38" s="72" t="n">
        <x:v>0</x:v>
      </x:c>
      <x:c r="I38" s="56" t="n">
        <x:v>0</x:v>
      </x:c>
      <x:c r="J38" s="56" t="n">
        <x:v>0</x:v>
      </x:c>
      <x:c r="K38" s="68" t="n">
        <x:f>IF(E38&lt;=0,"",G38/E38)</x:f>
        <x:v>1.2938835926449788</x:v>
      </x:c>
      <x:c r="L38" t="str">
        <x:f>IF(K38="","Not Calculated",IF(K38&lt;0.8,"Below 80%",IF(K38&lt;1,"80%-99.99%",IF(K38&lt;1.1,"100%-109.99%",IF(K38&lt;1.75,"110%-174.99%","175%+ Review")))))</x:f>
        <x:v>110%-174.99%</x:v>
      </x:c>
      <x:c r="M38" s="56" t="str">
        <x:v>Ready for Commission Calculation</x:v>
      </x:c>
      <x:c r="N38" s="74" t="n">
        <x:f>IF(E38&lt;=0,0,MIN(G38,E38*0.8)*0.01+MAX(0,MIN(G38,E38)-E38*0.8)*0.02)</x:f>
        <x:v>848.4000000000001</x:v>
      </x:c>
      <x:c r="O38" s="74" t="n">
        <x:f>IF(E38&lt;=0,0,MAX(0,MIN(G38,E38*1.1)-E38)*0.035+MAX(0,G38-E38*1.1)*0.05)</x:f>
        <x:v>932.8284999999997</x:v>
      </x:c>
      <x:c r="P38" s="74" t="n">
        <x:f>N38+O38</x:f>
        <x:v>1781.2284999999997</x:v>
      </x:c>
      <x:c r="Q38" s="76" t="n">
        <x:f>IF(G38&lt;=0,0,P38/G38)</x:f>
        <x:v>0.01947175138124023</x:v>
      </x:c>
    </x:row>
    <x:row r="39">
      <x:c r="A39" s="56" t="str">
        <x:v>EMP004</x:v>
      </x:c>
      <x:c r="B39" s="56" t="str">
        <x:v>Ethan Wong</x:v>
      </x:c>
      <x:c r="C39" s="56" t="str">
        <x:v>AE I</x:v>
      </x:c>
      <x:c r="D39" s="56" t="str">
        <x:v>2026-02</x:v>
      </x:c>
      <x:c r="E39" s="72" t="n">
        <x:v>70700</x:v>
      </x:c>
      <x:c r="F39" s="72" t="n">
        <x:v>87364.54999999999</x:v>
      </x:c>
      <x:c r="G39" s="72" t="n">
        <x:v>87257.28</x:v>
      </x:c>
      <x:c r="H39" s="72" t="n">
        <x:v>107.27</x:v>
      </x:c>
      <x:c r="I39" s="56" t="n">
        <x:v>0</x:v>
      </x:c>
      <x:c r="J39" s="56" t="n">
        <x:v>0</x:v>
      </x:c>
      <x:c r="K39" s="68" t="n">
        <x:f>IF(E39&lt;=0,"",G39/E39)</x:f>
        <x:v>1.2341906647807637</x:v>
      </x:c>
      <x:c r="L39" t="str">
        <x:f>IF(K39="","Not Calculated",IF(K39&lt;0.8,"Below 80%",IF(K39&lt;1,"80%-99.99%",IF(K39&lt;1.1,"100%-109.99%",IF(K39&lt;1.75,"110%-174.99%","175%+ Review")))))</x:f>
        <x:v>110%-174.99%</x:v>
      </x:c>
      <x:c r="M39" s="56" t="str">
        <x:v>Ready for Commission Calculation</x:v>
      </x:c>
      <x:c r="N39" s="74" t="n">
        <x:f>IF(E39&lt;=0,0,MIN(G39,E39*0.8)*0.01+MAX(0,MIN(G39,E39)-E39*0.8)*0.02)</x:f>
        <x:v>848.4000000000001</x:v>
      </x:c>
      <x:c r="O39" s="74" t="n">
        <x:f>IF(E39&lt;=0,0,MAX(0,MIN(G39,E39*1.1)-E39)*0.035+MAX(0,G39-E39*1.1)*0.05)</x:f>
        <x:v>721.814</x:v>
      </x:c>
      <x:c r="P39" s="74" t="n">
        <x:f>N39+O39</x:f>
        <x:v>1570.214</x:v>
      </x:c>
      <x:c r="Q39" s="76" t="n">
        <x:f>IF(G39&lt;=0,0,P39/G39)</x:f>
        <x:v>0.017995220570707682</x:v>
      </x:c>
    </x:row>
    <x:row r="40">
      <x:c r="A40" s="56" t="str">
        <x:v>EMP004</x:v>
      </x:c>
      <x:c r="B40" s="56" t="str">
        <x:v>Ethan Wong</x:v>
      </x:c>
      <x:c r="C40" s="56" t="str">
        <x:v>AE I</x:v>
      </x:c>
      <x:c r="D40" s="56" t="str">
        <x:v>2026-03</x:v>
      </x:c>
      <x:c r="E40" s="72" t="n">
        <x:v>80800</x:v>
      </x:c>
      <x:c r="F40" s="72" t="n">
        <x:v>110701.79000000001</x:v>
      </x:c>
      <x:c r="G40" s="72" t="n">
        <x:v>110219.26000000001</x:v>
      </x:c>
      <x:c r="H40" s="72" t="n">
        <x:v>482.53</x:v>
      </x:c>
      <x:c r="I40" s="56" t="n">
        <x:v>0</x:v>
      </x:c>
      <x:c r="J40" s="56" t="n">
        <x:v>0</x:v>
      </x:c>
      <x:c r="K40" s="68" t="n">
        <x:f>IF(E40&lt;=0,"",G40/E40)</x:f>
        <x:v>1.3640997524752476</x:v>
      </x:c>
      <x:c r="L40" t="str">
        <x:f>IF(K40="","Not Calculated",IF(K40&lt;0.8,"Below 80%",IF(K40&lt;1,"80%-99.99%",IF(K40&lt;1.1,"100%-109.99%",IF(K40&lt;1.75,"110%-174.99%","175%+ Review")))))</x:f>
        <x:v>110%-174.99%</x:v>
      </x:c>
      <x:c r="M40" s="56" t="str">
        <x:v>Ready for Commission Calculation</x:v>
      </x:c>
      <x:c r="N40" s="74" t="n">
        <x:f>IF(E40&lt;=0,0,MIN(G40,E40*0.8)*0.01+MAX(0,MIN(G40,E40)-E40*0.8)*0.02)</x:f>
        <x:v>969.5999999999999</x:v>
      </x:c>
      <x:c r="O40" s="74" t="n">
        <x:f>IF(E40&lt;=0,0,MAX(0,MIN(G40,E40*1.1)-E40)*0.035+MAX(0,G40-E40*1.1)*0.05)</x:f>
        <x:v>1349.7630000000004</x:v>
      </x:c>
      <x:c r="P40" s="74" t="n">
        <x:f>N40+O40</x:f>
        <x:v>2319.3630000000003</x:v>
      </x:c>
      <x:c r="Q40" s="76" t="n">
        <x:f>IF(G40&lt;=0,0,P40/G40)</x:f>
        <x:v>0.021043173398188304</x:v>
      </x:c>
    </x:row>
    <x:row r="41">
      <x:c r="A41" s="56" t="str">
        <x:v>EMP004</x:v>
      </x:c>
      <x:c r="B41" s="56" t="str">
        <x:v>Ethan Wong</x:v>
      </x:c>
      <x:c r="C41" s="56" t="str">
        <x:v>AE I</x:v>
      </x:c>
      <x:c r="D41" s="56" t="str">
        <x:v>2026-04</x:v>
      </x:c>
      <x:c r="E41" s="72" t="n">
        <x:v>80800</x:v>
      </x:c>
      <x:c r="F41" s="72" t="n">
        <x:v>84045.64</x:v>
      </x:c>
      <x:c r="G41" s="72" t="n">
        <x:v>83754.81</x:v>
      </x:c>
      <x:c r="H41" s="72" t="n">
        <x:v>290.83</x:v>
      </x:c>
      <x:c r="I41" s="56" t="n">
        <x:v>0</x:v>
      </x:c>
      <x:c r="J41" s="56" t="n">
        <x:v>0</x:v>
      </x:c>
      <x:c r="K41" s="68" t="n">
        <x:f>IF(E41&lt;=0,"",G41/E41)</x:f>
        <x:v>1.0365694306930693</x:v>
      </x:c>
      <x:c r="L41" t="str">
        <x:f>IF(K41="","Not Calculated",IF(K41&lt;0.8,"Below 80%",IF(K41&lt;1,"80%-99.99%",IF(K41&lt;1.1,"100%-109.99%",IF(K41&lt;1.75,"110%-174.99%","175%+ Review")))))</x:f>
        <x:v>100%-109.99%</x:v>
      </x:c>
      <x:c r="M41" s="56" t="str">
        <x:v>Ready for Commission Calculation</x:v>
      </x:c>
      <x:c r="N41" s="74" t="n">
        <x:f>IF(E41&lt;=0,0,MIN(G41,E41*0.8)*0.01+MAX(0,MIN(G41,E41)-E41*0.8)*0.02)</x:f>
        <x:v>969.5999999999999</x:v>
      </x:c>
      <x:c r="O41" s="74" t="n">
        <x:f>IF(E41&lt;=0,0,MAX(0,MIN(G41,E41*1.1)-E41)*0.035+MAX(0,G41-E41*1.1)*0.05)</x:f>
        <x:v>103.41834999999993</x:v>
      </x:c>
      <x:c r="P41" s="74" t="n">
        <x:f>N41+O41</x:f>
        <x:v>1073.0183499999998</x:v>
      </x:c>
      <x:c r="Q41" s="76" t="n">
        <x:f>IF(G41&lt;=0,0,P41/G41)</x:f>
        <x:v>0.012811423606596444</x:v>
      </x:c>
    </x:row>
    <x:row r="42">
      <x:c r="A42" s="56" t="str">
        <x:v>EMP004</x:v>
      </x:c>
      <x:c r="B42" s="56" t="str">
        <x:v>Ethan Wong</x:v>
      </x:c>
      <x:c r="C42" s="56" t="str">
        <x:v>AE I</x:v>
      </x:c>
      <x:c r="D42" s="56" t="str">
        <x:v>2026-05</x:v>
      </x:c>
      <x:c r="E42" s="72" t="n">
        <x:v>80800</x:v>
      </x:c>
      <x:c r="F42" s="72" t="n">
        <x:v>108576.77</x:v>
      </x:c>
      <x:c r="G42" s="72" t="n">
        <x:v>106250.32</x:v>
      </x:c>
      <x:c r="H42" s="72" t="n">
        <x:v>2326.45</x:v>
      </x:c>
      <x:c r="I42" s="56" t="n">
        <x:v>0</x:v>
      </x:c>
      <x:c r="J42" s="56" t="n">
        <x:v>0</x:v>
      </x:c>
      <x:c r="K42" s="68" t="n">
        <x:f>IF(E42&lt;=0,"",G42/E42)</x:f>
        <x:v>1.3149792079207923</x:v>
      </x:c>
      <x:c r="L42" t="str">
        <x:f>IF(K42="","Not Calculated",IF(K42&lt;0.8,"Below 80%",IF(K42&lt;1,"80%-99.99%",IF(K42&lt;1.1,"100%-109.99%",IF(K42&lt;1.75,"110%-174.99%","175%+ Review")))))</x:f>
        <x:v>110%-174.99%</x:v>
      </x:c>
      <x:c r="M42" s="56" t="str">
        <x:v>Ready for Commission Calculation</x:v>
      </x:c>
      <x:c r="N42" s="74" t="n">
        <x:f>IF(E42&lt;=0,0,MIN(G42,E42*0.8)*0.01+MAX(0,MIN(G42,E42)-E42*0.8)*0.02)</x:f>
        <x:v>969.5999999999999</x:v>
      </x:c>
      <x:c r="O42" s="74" t="n">
        <x:f>IF(E42&lt;=0,0,MAX(0,MIN(G42,E42*1.1)-E42)*0.035+MAX(0,G42-E42*1.1)*0.05)</x:f>
        <x:v>1151.3160000000005</x:v>
      </x:c>
      <x:c r="P42" s="74" t="n">
        <x:f>N42+O42</x:f>
        <x:v>2120.916</x:v>
      </x:c>
      <x:c r="Q42" s="76" t="n">
        <x:f>IF(G42&lt;=0,0,P42/G42)</x:f>
        <x:v>0.019961502233593272</x:v>
      </x:c>
    </x:row>
    <x:row r="43">
      <x:c r="A43" s="56" t="str">
        <x:v>EMP004</x:v>
      </x:c>
      <x:c r="B43" s="56" t="str">
        <x:v>Ethan Wong</x:v>
      </x:c>
      <x:c r="C43" s="56" t="str">
        <x:v>AE I</x:v>
      </x:c>
      <x:c r="D43" s="56" t="str">
        <x:v>2026-06</x:v>
      </x:c>
      <x:c r="E43" s="72" t="n">
        <x:v>90900</x:v>
      </x:c>
      <x:c r="F43" s="72" t="n">
        <x:v>144980.89</x:v>
      </x:c>
      <x:c r="G43" s="72" t="n">
        <x:v>144734.76</x:v>
      </x:c>
      <x:c r="H43" s="72" t="n">
        <x:v>246.13</x:v>
      </x:c>
      <x:c r="I43" s="56" t="n">
        <x:v>0</x:v>
      </x:c>
      <x:c r="J43" s="56" t="n">
        <x:v>0</x:v>
      </x:c>
      <x:c r="K43" s="68" t="n">
        <x:f>IF(E43&lt;=0,"",G43/E43)</x:f>
        <x:v>1.5922415841584159</x:v>
      </x:c>
      <x:c r="L43" t="str">
        <x:f>IF(K43="","Not Calculated",IF(K43&lt;0.8,"Below 80%",IF(K43&lt;1,"80%-99.99%",IF(K43&lt;1.1,"100%-109.99%",IF(K43&lt;1.75,"110%-174.99%","175%+ Review")))))</x:f>
        <x:v>110%-174.99%</x:v>
      </x:c>
      <x:c r="M43" s="56" t="str">
        <x:v>Ready for Commission Calculation</x:v>
      </x:c>
      <x:c r="N43" s="74" t="n">
        <x:f>IF(E43&lt;=0,0,MIN(G43,E43*0.8)*0.01+MAX(0,MIN(G43,E43)-E43*0.8)*0.02)</x:f>
        <x:v>1090.8000000000002</x:v>
      </x:c>
      <x:c r="O43" s="74" t="n">
        <x:f>IF(E43&lt;=0,0,MAX(0,MIN(G43,E43*1.1)-E43)*0.035+MAX(0,G43-E43*1.1)*0.05)</x:f>
        <x:v>2555.3880000000004</x:v>
      </x:c>
      <x:c r="P43" s="74" t="n">
        <x:f>N43+O43</x:f>
        <x:v>3646.1880000000006</x:v>
      </x:c>
      <x:c r="Q43" s="76" t="n">
        <x:f>IF(G43&lt;=0,0,P43/G43)</x:f>
        <x:v>0.025192206764981684</x:v>
      </x:c>
    </x:row>
    <x:row r="44">
      <x:c r="A44" s="56" t="str">
        <x:v>EMP004</x:v>
      </x:c>
      <x:c r="B44" s="56" t="str">
        <x:v>Ethan Wong</x:v>
      </x:c>
      <x:c r="C44" s="56" t="str">
        <x:v>AE I</x:v>
      </x:c>
      <x:c r="D44" s="56" t="str">
        <x:v>2026-07</x:v>
      </x:c>
      <x:c r="E44" s="72" t="n">
        <x:v>70700</x:v>
      </x:c>
      <x:c r="F44" s="72" t="n">
        <x:v>93564.19</x:v>
      </x:c>
      <x:c r="G44" s="72" t="n">
        <x:v>93134.66</x:v>
      </x:c>
      <x:c r="H44" s="72" t="n">
        <x:v>429.53000000000003</x:v>
      </x:c>
      <x:c r="I44" s="56" t="n">
        <x:v>0</x:v>
      </x:c>
      <x:c r="J44" s="56" t="n">
        <x:v>0</x:v>
      </x:c>
      <x:c r="K44" s="68" t="n">
        <x:f>IF(E44&lt;=0,"",G44/E44)</x:f>
        <x:v>1.3173219236209335</x:v>
      </x:c>
      <x:c r="L44" t="str">
        <x:f>IF(K44="","Not Calculated",IF(K44&lt;0.8,"Below 80%",IF(K44&lt;1,"80%-99.99%",IF(K44&lt;1.1,"100%-109.99%",IF(K44&lt;1.75,"110%-174.99%","175%+ Review")))))</x:f>
        <x:v>110%-174.99%</x:v>
      </x:c>
      <x:c r="M44" s="56" t="str">
        <x:v>Ready for Commission Calculation</x:v>
      </x:c>
      <x:c r="N44" s="74" t="n">
        <x:f>IF(E44&lt;=0,0,MIN(G44,E44*0.8)*0.01+MAX(0,MIN(G44,E44)-E44*0.8)*0.02)</x:f>
        <x:v>848.4000000000001</x:v>
      </x:c>
      <x:c r="O44" s="74" t="n">
        <x:f>IF(E44&lt;=0,0,MAX(0,MIN(G44,E44*1.1)-E44)*0.035+MAX(0,G44-E44*1.1)*0.05)</x:f>
        <x:v>1015.6830000000002</x:v>
      </x:c>
      <x:c r="P44" s="74" t="n">
        <x:f>N44+O44</x:f>
        <x:v>1864.0830000000003</x:v>
      </x:c>
      <x:c r="Q44" s="76" t="n">
        <x:f>IF(G44&lt;=0,0,P44/G44)</x:f>
        <x:v>0.020014922478913868</x:v>
      </x:c>
    </x:row>
    <x:row r="45">
      <x:c r="A45" s="56" t="str">
        <x:v>EMP004</x:v>
      </x:c>
      <x:c r="B45" s="56" t="str">
        <x:v>Ethan Wong</x:v>
      </x:c>
      <x:c r="C45" s="56" t="str">
        <x:v>AE I</x:v>
      </x:c>
      <x:c r="D45" s="56" t="str">
        <x:v>2026-08</x:v>
      </x:c>
      <x:c r="E45" s="72" t="n">
        <x:v>70700</x:v>
      </x:c>
      <x:c r="F45" s="72" t="n">
        <x:v>91964.78</x:v>
      </x:c>
      <x:c r="G45" s="72" t="n">
        <x:v>91117.95</x:v>
      </x:c>
      <x:c r="H45" s="72" t="n">
        <x:v>846.83</x:v>
      </x:c>
      <x:c r="I45" s="56" t="n">
        <x:v>0</x:v>
      </x:c>
      <x:c r="J45" s="56" t="n">
        <x:v>0</x:v>
      </x:c>
      <x:c r="K45" s="68" t="n">
        <x:f>IF(E45&lt;=0,"",G45/E45)</x:f>
        <x:v>1.2887970297029703</x:v>
      </x:c>
      <x:c r="L45" t="str">
        <x:f>IF(K45="","Not Calculated",IF(K45&lt;0.8,"Below 80%",IF(K45&lt;1,"80%-99.99%",IF(K45&lt;1.1,"100%-109.99%",IF(K45&lt;1.75,"110%-174.99%","175%+ Review")))))</x:f>
        <x:v>110%-174.99%</x:v>
      </x:c>
      <x:c r="M45" s="56" t="str">
        <x:v>Ready for Commission Calculation</x:v>
      </x:c>
      <x:c r="N45" s="74" t="n">
        <x:f>IF(E45&lt;=0,0,MIN(G45,E45*0.8)*0.01+MAX(0,MIN(G45,E45)-E45*0.8)*0.02)</x:f>
        <x:v>848.4000000000001</x:v>
      </x:c>
      <x:c r="O45" s="74" t="n">
        <x:f>IF(E45&lt;=0,0,MAX(0,MIN(G45,E45*1.1)-E45)*0.035+MAX(0,G45-E45*1.1)*0.05)</x:f>
        <x:v>914.8475</x:v>
      </x:c>
      <x:c r="P45" s="74" t="n">
        <x:f>N45+O45</x:f>
        <x:v>1763.2475</x:v>
      </x:c>
      <x:c r="Q45" s="76" t="n">
        <x:f>IF(G45&lt;=0,0,P45/G45)</x:f>
        <x:v>0.019351263938664116</x:v>
      </x:c>
    </x:row>
    <x:row r="46">
      <x:c r="A46" s="56" t="str">
        <x:v>EMP004</x:v>
      </x:c>
      <x:c r="B46" s="56" t="str">
        <x:v>Ethan Wong</x:v>
      </x:c>
      <x:c r="C46" s="56" t="str">
        <x:v>AE I</x:v>
      </x:c>
      <x:c r="D46" s="56" t="str">
        <x:v>2026-09</x:v>
      </x:c>
      <x:c r="E46" s="72" t="n">
        <x:v>101000</x:v>
      </x:c>
      <x:c r="F46" s="72" t="n">
        <x:v>161822.22</x:v>
      </x:c>
      <x:c r="G46" s="72" t="n">
        <x:v>161246.37</x:v>
      </x:c>
      <x:c r="H46" s="72" t="n">
        <x:v>575.85</x:v>
      </x:c>
      <x:c r="I46" s="56" t="n">
        <x:v>0</x:v>
      </x:c>
      <x:c r="J46" s="56" t="n">
        <x:v>0</x:v>
      </x:c>
      <x:c r="K46" s="68" t="n">
        <x:f>IF(E46&lt;=0,"",G46/E46)</x:f>
        <x:v>1.596498712871287</x:v>
      </x:c>
      <x:c r="L46" t="str">
        <x:f>IF(K46="","Not Calculated",IF(K46&lt;0.8,"Below 80%",IF(K46&lt;1,"80%-99.99%",IF(K46&lt;1.1,"100%-109.99%",IF(K46&lt;1.75,"110%-174.99%","175%+ Review")))))</x:f>
        <x:v>110%-174.99%</x:v>
      </x:c>
      <x:c r="M46" s="56" t="str">
        <x:v>Ready for Commission Calculation</x:v>
      </x:c>
      <x:c r="N46" s="74" t="n">
        <x:f>IF(E46&lt;=0,0,MIN(G46,E46*0.8)*0.01+MAX(0,MIN(G46,E46)-E46*0.8)*0.02)</x:f>
        <x:v>1212</x:v>
      </x:c>
      <x:c r="O46" s="74" t="n">
        <x:f>IF(E46&lt;=0,0,MAX(0,MIN(G46,E46*1.1)-E46)*0.035+MAX(0,G46-E46*1.1)*0.05)</x:f>
        <x:v>2860.8185</x:v>
      </x:c>
      <x:c r="P46" s="74" t="n">
        <x:f>N46+O46</x:f>
        <x:v>4072.8185</x:v>
      </x:c>
      <x:c r="Q46" s="76" t="n">
        <x:f>IF(G46&lt;=0,0,P46/G46)</x:f>
        <x:v>0.025258357754038122</x:v>
      </x:c>
    </x:row>
    <x:row r="47">
      <x:c r="A47" s="56" t="str">
        <x:v>EMP004</x:v>
      </x:c>
      <x:c r="B47" s="56" t="str">
        <x:v>Ethan Wong</x:v>
      </x:c>
      <x:c r="C47" s="56" t="str">
        <x:v>AE I</x:v>
      </x:c>
      <x:c r="D47" s="56" t="str">
        <x:v>2026-10</x:v>
      </x:c>
      <x:c r="E47" s="72" t="n">
        <x:v>101000</x:v>
      </x:c>
      <x:c r="F47" s="72" t="n">
        <x:v>141251.16</x:v>
      </x:c>
      <x:c r="G47" s="72" t="n">
        <x:v>133400.71000000002</x:v>
      </x:c>
      <x:c r="H47" s="72" t="n">
        <x:v>7850.45</x:v>
      </x:c>
      <x:c r="I47" s="56" t="n">
        <x:v>0</x:v>
      </x:c>
      <x:c r="J47" s="56" t="n">
        <x:v>0</x:v>
      </x:c>
      <x:c r="K47" s="68" t="n">
        <x:f>IF(E47&lt;=0,"",G47/E47)</x:f>
        <x:v>1.3207991089108913</x:v>
      </x:c>
      <x:c r="L47" t="str">
        <x:f>IF(K47="","Not Calculated",IF(K47&lt;0.8,"Below 80%",IF(K47&lt;1,"80%-99.99%",IF(K47&lt;1.1,"100%-109.99%",IF(K47&lt;1.75,"110%-174.99%","175%+ Review")))))</x:f>
        <x:v>110%-174.99%</x:v>
      </x:c>
      <x:c r="M47" s="56" t="str">
        <x:v>Ready for Commission Calculation</x:v>
      </x:c>
      <x:c r="N47" s="74" t="n">
        <x:f>IF(E47&lt;=0,0,MIN(G47,E47*0.8)*0.01+MAX(0,MIN(G47,E47)-E47*0.8)*0.02)</x:f>
        <x:v>1212</x:v>
      </x:c>
      <x:c r="O47" s="74" t="n">
        <x:f>IF(E47&lt;=0,0,MAX(0,MIN(G47,E47*1.1)-E47)*0.035+MAX(0,G47-E47*1.1)*0.05)</x:f>
        <x:v>1468.5355000000009</x:v>
      </x:c>
      <x:c r="P47" s="74" t="n">
        <x:f>N47+O47</x:f>
        <x:v>2680.535500000001</x:v>
      </x:c>
      <x:c r="Q47" s="76" t="n">
        <x:f>IF(G47&lt;=0,0,P47/G47)</x:f>
        <x:v>0.02009386231902364</x:v>
      </x:c>
    </x:row>
    <x:row r="48">
      <x:c r="A48" s="56" t="str">
        <x:v>EMP004</x:v>
      </x:c>
      <x:c r="B48" s="56" t="str">
        <x:v>Ethan Wong</x:v>
      </x:c>
      <x:c r="C48" s="56" t="str">
        <x:v>AE I</x:v>
      </x:c>
      <x:c r="D48" s="56" t="str">
        <x:v>2026-11</x:v>
      </x:c>
      <x:c r="E48" s="72" t="n">
        <x:v>90900</x:v>
      </x:c>
      <x:c r="F48" s="72" t="n">
        <x:v>120992.95</x:v>
      </x:c>
      <x:c r="G48" s="72" t="n">
        <x:v>120992.95</x:v>
      </x:c>
      <x:c r="H48" s="72" t="n">
        <x:v>0</x:v>
      </x:c>
      <x:c r="I48" s="56" t="n">
        <x:v>0</x:v>
      </x:c>
      <x:c r="J48" s="56" t="n">
        <x:v>0</x:v>
      </x:c>
      <x:c r="K48" s="68" t="n">
        <x:f>IF(E48&lt;=0,"",G48/E48)</x:f>
        <x:v>1.3310555555555554</x:v>
      </x:c>
      <x:c r="L48" t="str">
        <x:f>IF(K48="","Not Calculated",IF(K48&lt;0.8,"Below 80%",IF(K48&lt;1,"80%-99.99%",IF(K48&lt;1.1,"100%-109.99%",IF(K48&lt;1.75,"110%-174.99%","175%+ Review")))))</x:f>
        <x:v>110%-174.99%</x:v>
      </x:c>
      <x:c r="M48" s="56" t="str">
        <x:v>Ready for Commission Calculation</x:v>
      </x:c>
      <x:c r="N48" s="74" t="n">
        <x:f>IF(E48&lt;=0,0,MIN(G48,E48*0.8)*0.01+MAX(0,MIN(G48,E48)-E48*0.8)*0.02)</x:f>
        <x:v>1090.8000000000002</x:v>
      </x:c>
      <x:c r="O48" s="74" t="n">
        <x:f>IF(E48&lt;=0,0,MAX(0,MIN(G48,E48*1.1)-E48)*0.035+MAX(0,G48-E48*1.1)*0.05)</x:f>
        <x:v>1368.2974999999997</x:v>
      </x:c>
      <x:c r="P48" s="74" t="n">
        <x:f>N48+O48</x:f>
        <x:v>2459.0975</x:v>
      </x:c>
      <x:c r="Q48" s="76" t="n">
        <x:f>IF(G48&lt;=0,0,P48/G48)</x:f>
        <x:v>0.020324304019366416</x:v>
      </x:c>
    </x:row>
    <x:row r="49">
      <x:c r="A49" s="56" t="str">
        <x:v>EMP004</x:v>
      </x:c>
      <x:c r="B49" s="56" t="str">
        <x:v>Ethan Wong</x:v>
      </x:c>
      <x:c r="C49" s="56" t="str">
        <x:v>AE I</x:v>
      </x:c>
      <x:c r="D49" s="56" t="str">
        <x:v>2026-12</x:v>
      </x:c>
      <x:c r="E49" s="72" t="n">
        <x:v>101000</x:v>
      </x:c>
      <x:c r="F49" s="72" t="n">
        <x:v>147829.58000000002</x:v>
      </x:c>
      <x:c r="G49" s="72" t="n">
        <x:v>147317.12</x:v>
      </x:c>
      <x:c r="H49" s="72" t="n">
        <x:v>512.46</x:v>
      </x:c>
      <x:c r="I49" s="56" t="n">
        <x:v>0</x:v>
      </x:c>
      <x:c r="J49" s="56" t="n">
        <x:v>0</x:v>
      </x:c>
      <x:c r="K49" s="68" t="n">
        <x:f>IF(E49&lt;=0,"",G49/E49)</x:f>
        <x:v>1.4585853465346534</x:v>
      </x:c>
      <x:c r="L49" t="str">
        <x:f>IF(K49="","Not Calculated",IF(K49&lt;0.8,"Below 80%",IF(K49&lt;1,"80%-99.99%",IF(K49&lt;1.1,"100%-109.99%",IF(K49&lt;1.75,"110%-174.99%","175%+ Review")))))</x:f>
        <x:v>110%-174.99%</x:v>
      </x:c>
      <x:c r="M49" s="56" t="str">
        <x:v>Ready for Commission Calculation</x:v>
      </x:c>
      <x:c r="N49" s="74" t="n">
        <x:f>IF(E49&lt;=0,0,MIN(G49,E49*0.8)*0.01+MAX(0,MIN(G49,E49)-E49*0.8)*0.02)</x:f>
        <x:v>1212</x:v>
      </x:c>
      <x:c r="O49" s="74" t="n">
        <x:f>IF(E49&lt;=0,0,MAX(0,MIN(G49,E49*1.1)-E49)*0.035+MAX(0,G49-E49*1.1)*0.05)</x:f>
        <x:v>2164.3559999999998</x:v>
      </x:c>
      <x:c r="P49" s="74" t="n">
        <x:f>N49+O49</x:f>
        <x:v>3376.3559999999998</x:v>
      </x:c>
      <x:c r="Q49" s="76" t="n">
        <x:f>IF(G49&lt;=0,0,P49/G49)</x:f>
        <x:v>0.022918965562183133</x:v>
      </x:c>
    </x:row>
    <x:row r="50">
      <x:c r="A50" s="56" t="str">
        <x:v>EMP005</x:v>
      </x:c>
      <x:c r="B50" s="56" t="str">
        <x:v>Sofia Rossi</x:v>
      </x:c>
      <x:c r="C50" s="56" t="str">
        <x:v>AE I</x:v>
      </x:c>
      <x:c r="D50" s="56" t="str">
        <x:v>2026-01</x:v>
      </x:c>
      <x:c r="E50" s="72" t="n">
        <x:v>72100</x:v>
      </x:c>
      <x:c r="F50" s="72" t="n">
        <x:v>81608.22</x:v>
      </x:c>
      <x:c r="G50" s="72" t="n">
        <x:v>81015.3</x:v>
      </x:c>
      <x:c r="H50" s="72" t="n">
        <x:v>592.92</x:v>
      </x:c>
      <x:c r="I50" s="56" t="n">
        <x:v>0</x:v>
      </x:c>
      <x:c r="J50" s="56" t="n">
        <x:v>0</x:v>
      </x:c>
      <x:c r="K50" s="68" t="n">
        <x:f>IF(E50&lt;=0,"",G50/E50)</x:f>
        <x:v>1.1236518723994453</x:v>
      </x:c>
      <x:c r="L50" t="str">
        <x:f>IF(K50="","Not Calculated",IF(K50&lt;0.8,"Below 80%",IF(K50&lt;1,"80%-99.99%",IF(K50&lt;1.1,"100%-109.99%",IF(K50&lt;1.75,"110%-174.99%","175%+ Review")))))</x:f>
        <x:v>110%-174.99%</x:v>
      </x:c>
      <x:c r="M50" s="56" t="str">
        <x:v>Ready for Commission Calculation</x:v>
      </x:c>
      <x:c r="N50" s="74" t="n">
        <x:f>IF(E50&lt;=0,0,MIN(G50,E50*0.8)*0.01+MAX(0,MIN(G50,E50)-E50*0.8)*0.02)</x:f>
        <x:v>865.2</x:v>
      </x:c>
      <x:c r="O50" s="74" t="n">
        <x:f>IF(E50&lt;=0,0,MAX(0,MIN(G50,E50*1.1)-E50)*0.035+MAX(0,G50-E50*1.1)*0.05)</x:f>
        <x:v>337.6150000000002</x:v>
      </x:c>
      <x:c r="P50" s="74" t="n">
        <x:f>N50+O50</x:f>
        <x:v>1202.8150000000003</x:v>
      </x:c>
      <x:c r="Q50" s="76" t="n">
        <x:f>IF(G50&lt;=0,0,P50/G50)</x:f>
        <x:v>0.014846763512571085</x:v>
      </x:c>
    </x:row>
    <x:row r="51">
      <x:c r="A51" s="56" t="str">
        <x:v>EMP005</x:v>
      </x:c>
      <x:c r="B51" s="56" t="str">
        <x:v>Sofia Rossi</x:v>
      </x:c>
      <x:c r="C51" s="56" t="str">
        <x:v>AE I</x:v>
      </x:c>
      <x:c r="D51" s="56" t="str">
        <x:v>2026-02</x:v>
      </x:c>
      <x:c r="E51" s="72" t="n">
        <x:v>72100</x:v>
      </x:c>
      <x:c r="F51" s="72" t="n">
        <x:v>76561.03000000001</x:v>
      </x:c>
      <x:c r="G51" s="72" t="n">
        <x:v>75415.32</x:v>
      </x:c>
      <x:c r="H51" s="72" t="n">
        <x:v>1145.71</x:v>
      </x:c>
      <x:c r="I51" s="56" t="n">
        <x:v>0</x:v>
      </x:c>
      <x:c r="J51" s="56" t="n">
        <x:v>0</x:v>
      </x:c>
      <x:c r="K51" s="68" t="n">
        <x:f>IF(E51&lt;=0,"",G51/E51)</x:f>
        <x:v>1.0459822468793343</x:v>
      </x:c>
      <x:c r="L51" t="str">
        <x:f>IF(K51="","Not Calculated",IF(K51&lt;0.8,"Below 80%",IF(K51&lt;1,"80%-99.99%",IF(K51&lt;1.1,"100%-109.99%",IF(K51&lt;1.75,"110%-174.99%","175%+ Review")))))</x:f>
        <x:v>100%-109.99%</x:v>
      </x:c>
      <x:c r="M51" s="56" t="str">
        <x:v>Ready for Commission Calculation</x:v>
      </x:c>
      <x:c r="N51" s="74" t="n">
        <x:f>IF(E51&lt;=0,0,MIN(G51,E51*0.8)*0.01+MAX(0,MIN(G51,E51)-E51*0.8)*0.02)</x:f>
        <x:v>865.2</x:v>
      </x:c>
      <x:c r="O51" s="74" t="n">
        <x:f>IF(E51&lt;=0,0,MAX(0,MIN(G51,E51*1.1)-E51)*0.035+MAX(0,G51-E51*1.1)*0.05)</x:f>
        <x:v>116.03620000000025</x:v>
      </x:c>
      <x:c r="P51" s="74" t="n">
        <x:f>N51+O51</x:f>
        <x:v>981.2362000000003</x:v>
      </x:c>
      <x:c r="Q51" s="76" t="n">
        <x:f>IF(G51&lt;=0,0,P51/G51)</x:f>
        <x:v>0.013011099071117117</x:v>
      </x:c>
    </x:row>
    <x:row r="52">
      <x:c r="A52" s="56" t="str">
        <x:v>EMP005</x:v>
      </x:c>
      <x:c r="B52" s="56" t="str">
        <x:v>Sofia Rossi</x:v>
      </x:c>
      <x:c r="C52" s="56" t="str">
        <x:v>AE I</x:v>
      </x:c>
      <x:c r="D52" s="56" t="str">
        <x:v>2026-03</x:v>
      </x:c>
      <x:c r="E52" s="72" t="n">
        <x:v>82400</x:v>
      </x:c>
      <x:c r="F52" s="72" t="n">
        <x:v>94729</x:v>
      </x:c>
      <x:c r="G52" s="72" t="n">
        <x:v>93179.76000000001</x:v>
      </x:c>
      <x:c r="H52" s="72" t="n">
        <x:v>1549.2399999999998</x:v>
      </x:c>
      <x:c r="I52" s="56" t="n">
        <x:v>0</x:v>
      </x:c>
      <x:c r="J52" s="56" t="n">
        <x:v>0</x:v>
      </x:c>
      <x:c r="K52" s="68" t="n">
        <x:f>IF(E52&lt;=0,"",G52/E52)</x:f>
        <x:v>1.1308223300970874</x:v>
      </x:c>
      <x:c r="L52" t="str">
        <x:f>IF(K52="","Not Calculated",IF(K52&lt;0.8,"Below 80%",IF(K52&lt;1,"80%-99.99%",IF(K52&lt;1.1,"100%-109.99%",IF(K52&lt;1.75,"110%-174.99%","175%+ Review")))))</x:f>
        <x:v>110%-174.99%</x:v>
      </x:c>
      <x:c r="M52" s="56" t="str">
        <x:v>Ready for Commission Calculation</x:v>
      </x:c>
      <x:c r="N52" s="74" t="n">
        <x:f>IF(E52&lt;=0,0,MIN(G52,E52*0.8)*0.01+MAX(0,MIN(G52,E52)-E52*0.8)*0.02)</x:f>
        <x:v>988.8000000000001</x:v>
      </x:c>
      <x:c r="O52" s="74" t="n">
        <x:f>IF(E52&lt;=0,0,MAX(0,MIN(G52,E52*1.1)-E52)*0.035+MAX(0,G52-E52*1.1)*0.05)</x:f>
        <x:v>415.38800000000026</x:v>
      </x:c>
      <x:c r="P52" s="74" t="n">
        <x:f>N52+O52</x:f>
        <x:v>1404.1880000000003</x:v>
      </x:c>
      <x:c r="Q52" s="76" t="n">
        <x:f>IF(G52&lt;=0,0,P52/G52)</x:f>
        <x:v>0.01506966749002144</x:v>
      </x:c>
    </x:row>
    <x:row r="53">
      <x:c r="A53" s="56" t="str">
        <x:v>EMP005</x:v>
      </x:c>
      <x:c r="B53" s="56" t="str">
        <x:v>Sofia Rossi</x:v>
      </x:c>
      <x:c r="C53" s="56" t="str">
        <x:v>AE I</x:v>
      </x:c>
      <x:c r="D53" s="56" t="str">
        <x:v>2026-04</x:v>
      </x:c>
      <x:c r="E53" s="72" t="n">
        <x:v>82400</x:v>
      </x:c>
      <x:c r="F53" s="72" t="n">
        <x:v>88622.79000000001</x:v>
      </x:c>
      <x:c r="G53" s="72" t="n">
        <x:v>88174</x:v>
      </x:c>
      <x:c r="H53" s="72" t="n">
        <x:v>448.79</x:v>
      </x:c>
      <x:c r="I53" s="56" t="n">
        <x:v>0</x:v>
      </x:c>
      <x:c r="J53" s="56" t="n">
        <x:v>0</x:v>
      </x:c>
      <x:c r="K53" s="68" t="n">
        <x:f>IF(E53&lt;=0,"",G53/E53)</x:f>
        <x:v>1.0700728155339805</x:v>
      </x:c>
      <x:c r="L53" t="str">
        <x:f>IF(K53="","Not Calculated",IF(K53&lt;0.8,"Below 80%",IF(K53&lt;1,"80%-99.99%",IF(K53&lt;1.1,"100%-109.99%",IF(K53&lt;1.75,"110%-174.99%","175%+ Review")))))</x:f>
        <x:v>100%-109.99%</x:v>
      </x:c>
      <x:c r="M53" s="56" t="str">
        <x:v>Ready for Commission Calculation</x:v>
      </x:c>
      <x:c r="N53" s="74" t="n">
        <x:f>IF(E53&lt;=0,0,MIN(G53,E53*0.8)*0.01+MAX(0,MIN(G53,E53)-E53*0.8)*0.02)</x:f>
        <x:v>988.8000000000001</x:v>
      </x:c>
      <x:c r="O53" s="74" t="n">
        <x:f>IF(E53&lt;=0,0,MAX(0,MIN(G53,E53*1.1)-E53)*0.035+MAX(0,G53-E53*1.1)*0.05)</x:f>
        <x:v>202.09000000000003</x:v>
      </x:c>
      <x:c r="P53" s="74" t="n">
        <x:f>N53+O53</x:f>
        <x:v>1190.89</x:v>
      </x:c>
      <x:c r="Q53" s="76" t="n">
        <x:f>IF(G53&lt;=0,0,P53/G53)</x:f>
        <x:v>0.013506135595527028</x:v>
      </x:c>
    </x:row>
    <x:row r="54">
      <x:c r="A54" s="56" t="str">
        <x:v>EMP005</x:v>
      </x:c>
      <x:c r="B54" s="56" t="str">
        <x:v>Sofia Rossi</x:v>
      </x:c>
      <x:c r="C54" s="56" t="str">
        <x:v>AE I</x:v>
      </x:c>
      <x:c r="D54" s="56" t="str">
        <x:v>2026-05</x:v>
      </x:c>
      <x:c r="E54" s="72" t="n">
        <x:v>82400</x:v>
      </x:c>
      <x:c r="F54" s="72" t="n">
        <x:v>81055.98000000001</x:v>
      </x:c>
      <x:c r="G54" s="72" t="n">
        <x:v>81055.98000000001</x:v>
      </x:c>
      <x:c r="H54" s="72" t="n">
        <x:v>0</x:v>
      </x:c>
      <x:c r="I54" s="56" t="n">
        <x:v>0</x:v>
      </x:c>
      <x:c r="J54" s="56" t="n">
        <x:v>0</x:v>
      </x:c>
      <x:c r="K54" s="68" t="n">
        <x:f>IF(E54&lt;=0,"",G54/E54)</x:f>
        <x:v>0.983689077669903</x:v>
      </x:c>
      <x:c r="L54" t="str">
        <x:f>IF(K54="","Not Calculated",IF(K54&lt;0.8,"Below 80%",IF(K54&lt;1,"80%-99.99%",IF(K54&lt;1.1,"100%-109.99%",IF(K54&lt;1.75,"110%-174.99%","175%+ Review")))))</x:f>
        <x:v>80%-99.99%</x:v>
      </x:c>
      <x:c r="M54" s="56" t="str">
        <x:v>Ready for Commission Calculation</x:v>
      </x:c>
      <x:c r="N54" s="74" t="n">
        <x:f>IF(E54&lt;=0,0,MIN(G54,E54*0.8)*0.01+MAX(0,MIN(G54,E54)-E54*0.8)*0.02)</x:f>
        <x:v>961.9196000000003</x:v>
      </x:c>
      <x:c r="O54" s="74" t="n">
        <x:f>IF(E54&lt;=0,0,MAX(0,MIN(G54,E54*1.1)-E54)*0.035+MAX(0,G54-E54*1.1)*0.05)</x:f>
        <x:v>0</x:v>
      </x:c>
      <x:c r="P54" s="74" t="n">
        <x:f>N54+O54</x:f>
        <x:v>961.9196000000003</x:v>
      </x:c>
      <x:c r="Q54" s="76" t="n">
        <x:f>IF(G54&lt;=0,0,P54/G54)</x:f>
        <x:v>0.011867348960557878</x:v>
      </x:c>
    </x:row>
    <x:row r="55">
      <x:c r="A55" s="56" t="str">
        <x:v>EMP005</x:v>
      </x:c>
      <x:c r="B55" s="56" t="str">
        <x:v>Sofia Rossi</x:v>
      </x:c>
      <x:c r="C55" s="56" t="str">
        <x:v>AE I</x:v>
      </x:c>
      <x:c r="D55" s="56" t="str">
        <x:v>2026-06</x:v>
      </x:c>
      <x:c r="E55" s="72" t="n">
        <x:v>92700</x:v>
      </x:c>
      <x:c r="F55" s="72" t="n">
        <x:v>102460.89</x:v>
      </x:c>
      <x:c r="G55" s="72" t="n">
        <x:v>102460.89</x:v>
      </x:c>
      <x:c r="H55" s="72" t="n">
        <x:v>0</x:v>
      </x:c>
      <x:c r="I55" s="56" t="n">
        <x:v>0</x:v>
      </x:c>
      <x:c r="J55" s="56" t="n">
        <x:v>0</x:v>
      </x:c>
      <x:c r="K55" s="68" t="n">
        <x:f>IF(E55&lt;=0,"",G55/E55)</x:f>
        <x:v>1.1052954692556634</x:v>
      </x:c>
      <x:c r="L55" t="str">
        <x:f>IF(K55="","Not Calculated",IF(K55&lt;0.8,"Below 80%",IF(K55&lt;1,"80%-99.99%",IF(K55&lt;1.1,"100%-109.99%",IF(K55&lt;1.75,"110%-174.99%","175%+ Review")))))</x:f>
        <x:v>110%-174.99%</x:v>
      </x:c>
      <x:c r="M55" s="56" t="str">
        <x:v>Ready for Commission Calculation</x:v>
      </x:c>
      <x:c r="N55" s="74" t="n">
        <x:f>IF(E55&lt;=0,0,MIN(G55,E55*0.8)*0.01+MAX(0,MIN(G55,E55)-E55*0.8)*0.02)</x:f>
        <x:v>1112.4</x:v>
      </x:c>
      <x:c r="O55" s="74" t="n">
        <x:f>IF(E55&lt;=0,0,MAX(0,MIN(G55,E55*1.1)-E55)*0.035+MAX(0,G55-E55*1.1)*0.05)</x:f>
        <x:v>348.9944999999998</x:v>
      </x:c>
      <x:c r="P55" s="74" t="n">
        <x:f>N55+O55</x:f>
        <x:v>1461.3944999999999</x:v>
      </x:c>
      <x:c r="Q55" s="76" t="n">
        <x:f>IF(G55&lt;=0,0,P55/G55)</x:f>
        <x:v>0.014262949502000225</x:v>
      </x:c>
    </x:row>
    <x:row r="56">
      <x:c r="A56" s="56" t="str">
        <x:v>EMP005</x:v>
      </x:c>
      <x:c r="B56" s="56" t="str">
        <x:v>Sofia Rossi</x:v>
      </x:c>
      <x:c r="C56" s="56" t="str">
        <x:v>AE I</x:v>
      </x:c>
      <x:c r="D56" s="56" t="str">
        <x:v>2026-07</x:v>
      </x:c>
      <x:c r="E56" s="72" t="n">
        <x:v>72100</x:v>
      </x:c>
      <x:c r="F56" s="72" t="n">
        <x:v>66784.38</x:v>
      </x:c>
      <x:c r="G56" s="72" t="n">
        <x:v>66668.84000000001</x:v>
      </x:c>
      <x:c r="H56" s="72" t="n">
        <x:v>115.54</x:v>
      </x:c>
      <x:c r="I56" s="56" t="n">
        <x:v>0</x:v>
      </x:c>
      <x:c r="J56" s="56" t="n">
        <x:v>0</x:v>
      </x:c>
      <x:c r="K56" s="68" t="n">
        <x:f>IF(E56&lt;=0,"",G56/E56)</x:f>
        <x:v>0.9246718446601944</x:v>
      </x:c>
      <x:c r="L56" t="str">
        <x:f>IF(K56="","Not Calculated",IF(K56&lt;0.8,"Below 80%",IF(K56&lt;1,"80%-99.99%",IF(K56&lt;1.1,"100%-109.99%",IF(K56&lt;1.75,"110%-174.99%","175%+ Review")))))</x:f>
        <x:v>80%-99.99%</x:v>
      </x:c>
      <x:c r="M56" s="56" t="str">
        <x:v>Ready for Commission Calculation</x:v>
      </x:c>
      <x:c r="N56" s="74" t="n">
        <x:f>IF(E56&lt;=0,0,MIN(G56,E56*0.8)*0.01+MAX(0,MIN(G56,E56)-E56*0.8)*0.02)</x:f>
        <x:v>756.5768000000003</x:v>
      </x:c>
      <x:c r="O56" s="74" t="n">
        <x:f>IF(E56&lt;=0,0,MAX(0,MIN(G56,E56*1.1)-E56)*0.035+MAX(0,G56-E56*1.1)*0.05)</x:f>
        <x:v>0</x:v>
      </x:c>
      <x:c r="P56" s="74" t="n">
        <x:f>N56+O56</x:f>
        <x:v>756.5768000000003</x:v>
      </x:c>
      <x:c r="Q56" s="76" t="n">
        <x:f>IF(G56&lt;=0,0,P56/G56)</x:f>
        <x:v>0.011348282046005303</x:v>
      </x:c>
    </x:row>
    <x:row r="57">
      <x:c r="A57" s="56" t="str">
        <x:v>EMP005</x:v>
      </x:c>
      <x:c r="B57" s="56" t="str">
        <x:v>Sofia Rossi</x:v>
      </x:c>
      <x:c r="C57" s="56" t="str">
        <x:v>AE I</x:v>
      </x:c>
      <x:c r="D57" s="56" t="str">
        <x:v>2026-08</x:v>
      </x:c>
      <x:c r="E57" s="72" t="n">
        <x:v>72100</x:v>
      </x:c>
      <x:c r="F57" s="72" t="n">
        <x:v>70873.34</x:v>
      </x:c>
      <x:c r="G57" s="72" t="n">
        <x:v>70757.26999999999</x:v>
      </x:c>
      <x:c r="H57" s="72" t="n">
        <x:v>116.07</x:v>
      </x:c>
      <x:c r="I57" s="56" t="n">
        <x:v>0</x:v>
      </x:c>
      <x:c r="J57" s="56" t="n">
        <x:v>0</x:v>
      </x:c>
      <x:c r="K57" s="68" t="n">
        <x:f>IF(E57&lt;=0,"",G57/E57)</x:f>
        <x:v>0.9813768377253813</x:v>
      </x:c>
      <x:c r="L57" t="str">
        <x:f>IF(K57="","Not Calculated",IF(K57&lt;0.8,"Below 80%",IF(K57&lt;1,"80%-99.99%",IF(K57&lt;1.1,"100%-109.99%",IF(K57&lt;1.75,"110%-174.99%","175%+ Review")))))</x:f>
        <x:v>80%-99.99%</x:v>
      </x:c>
      <x:c r="M57" s="56" t="str">
        <x:v>Ready for Commission Calculation</x:v>
      </x:c>
      <x:c r="N57" s="74" t="n">
        <x:f>IF(E57&lt;=0,0,MIN(G57,E57*0.8)*0.01+MAX(0,MIN(G57,E57)-E57*0.8)*0.02)</x:f>
        <x:v>838.3453999999999</x:v>
      </x:c>
      <x:c r="O57" s="74" t="n">
        <x:f>IF(E57&lt;=0,0,MAX(0,MIN(G57,E57*1.1)-E57)*0.035+MAX(0,G57-E57*1.1)*0.05)</x:f>
        <x:v>0</x:v>
      </x:c>
      <x:c r="P57" s="74" t="n">
        <x:f>N57+O57</x:f>
        <x:v>838.3453999999999</x:v>
      </x:c>
      <x:c r="Q57" s="76" t="n">
        <x:f>IF(G57&lt;=0,0,P57/G57)</x:f>
        <x:v>0.011848187472467494</x:v>
      </x:c>
    </x:row>
    <x:row r="58">
      <x:c r="A58" s="56" t="str">
        <x:v>EMP005</x:v>
      </x:c>
      <x:c r="B58" s="56" t="str">
        <x:v>Sofia Rossi</x:v>
      </x:c>
      <x:c r="C58" s="56" t="str">
        <x:v>AE I</x:v>
      </x:c>
      <x:c r="D58" s="56" t="str">
        <x:v>2026-09</x:v>
      </x:c>
      <x:c r="E58" s="72" t="n">
        <x:v>103000</x:v>
      </x:c>
      <x:c r="F58" s="72" t="n">
        <x:v>105883.14000000001</x:v>
      </x:c>
      <x:c r="G58" s="72" t="n">
        <x:v>105567.99000000002</x:v>
      </x:c>
      <x:c r="H58" s="72" t="n">
        <x:v>315.15</x:v>
      </x:c>
      <x:c r="I58" s="56" t="n">
        <x:v>0</x:v>
      </x:c>
      <x:c r="J58" s="56" t="n">
        <x:v>0</x:v>
      </x:c>
      <x:c r="K58" s="68" t="n">
        <x:f>IF(E58&lt;=0,"",G58/E58)</x:f>
        <x:v>1.024931941747573</x:v>
      </x:c>
      <x:c r="L58" t="str">
        <x:f>IF(K58="","Not Calculated",IF(K58&lt;0.8,"Below 80%",IF(K58&lt;1,"80%-99.99%",IF(K58&lt;1.1,"100%-109.99%",IF(K58&lt;1.75,"110%-174.99%","175%+ Review")))))</x:f>
        <x:v>100%-109.99%</x:v>
      </x:c>
      <x:c r="M58" s="56" t="str">
        <x:v>Ready for Commission Calculation</x:v>
      </x:c>
      <x:c r="N58" s="74" t="n">
        <x:f>IF(E58&lt;=0,0,MIN(G58,E58*0.8)*0.01+MAX(0,MIN(G58,E58)-E58*0.8)*0.02)</x:f>
        <x:v>1236</x:v>
      </x:c>
      <x:c r="O58" s="74" t="n">
        <x:f>IF(E58&lt;=0,0,MAX(0,MIN(G58,E58*1.1)-E58)*0.035+MAX(0,G58-E58*1.1)*0.05)</x:f>
        <x:v>89.8796500000007</x:v>
      </x:c>
      <x:c r="P58" s="74" t="n">
        <x:f>N58+O58</x:f>
        <x:v>1325.8796500000008</x:v>
      </x:c>
      <x:c r="Q58" s="76" t="n">
        <x:f>IF(G58&lt;=0,0,P58/G58)</x:f>
        <x:v>0.012559485597859734</x:v>
      </x:c>
    </x:row>
    <x:row r="59">
      <x:c r="A59" s="56" t="str">
        <x:v>EMP005</x:v>
      </x:c>
      <x:c r="B59" s="56" t="str">
        <x:v>Sofia Rossi</x:v>
      </x:c>
      <x:c r="C59" s="56" t="str">
        <x:v>AE I</x:v>
      </x:c>
      <x:c r="D59" s="56" t="str">
        <x:v>2026-10</x:v>
      </x:c>
      <x:c r="E59" s="72" t="n">
        <x:v>103000</x:v>
      </x:c>
      <x:c r="F59" s="72" t="n">
        <x:v>126038.26999999999</x:v>
      </x:c>
      <x:c r="G59" s="72" t="n">
        <x:v>126038.26999999999</x:v>
      </x:c>
      <x:c r="H59" s="72" t="n">
        <x:v>0</x:v>
      </x:c>
      <x:c r="I59" s="56" t="n">
        <x:v>0</x:v>
      </x:c>
      <x:c r="J59" s="56" t="n">
        <x:v>0</x:v>
      </x:c>
      <x:c r="K59" s="68" t="n">
        <x:f>IF(E59&lt;=0,"",G59/E59)</x:f>
        <x:v>1.2236725242718445</x:v>
      </x:c>
      <x:c r="L59" t="str">
        <x:f>IF(K59="","Not Calculated",IF(K59&lt;0.8,"Below 80%",IF(K59&lt;1,"80%-99.99%",IF(K59&lt;1.1,"100%-109.99%",IF(K59&lt;1.75,"110%-174.99%","175%+ Review")))))</x:f>
        <x:v>110%-174.99%</x:v>
      </x:c>
      <x:c r="M59" s="56" t="str">
        <x:v>Ready for Commission Calculation</x:v>
      </x:c>
      <x:c r="N59" s="74" t="n">
        <x:f>IF(E59&lt;=0,0,MIN(G59,E59*0.8)*0.01+MAX(0,MIN(G59,E59)-E59*0.8)*0.02)</x:f>
        <x:v>1236</x:v>
      </x:c>
      <x:c r="O59" s="74" t="n">
        <x:f>IF(E59&lt;=0,0,MAX(0,MIN(G59,E59*1.1)-E59)*0.035+MAX(0,G59-E59*1.1)*0.05)</x:f>
        <x:v>997.4134999999993</x:v>
      </x:c>
      <x:c r="P59" s="74" t="n">
        <x:f>N59+O59</x:f>
        <x:v>2233.413499999999</x:v>
      </x:c>
      <x:c r="Q59" s="76" t="n">
        <x:f>IF(G59&lt;=0,0,P59/G59)</x:f>
        <x:v>0.017720121832836958</x:v>
      </x:c>
    </x:row>
    <x:row r="60">
      <x:c r="A60" s="56" t="str">
        <x:v>EMP005</x:v>
      </x:c>
      <x:c r="B60" s="56" t="str">
        <x:v>Sofia Rossi</x:v>
      </x:c>
      <x:c r="C60" s="56" t="str">
        <x:v>AE I</x:v>
      </x:c>
      <x:c r="D60" s="56" t="str">
        <x:v>2026-11</x:v>
      </x:c>
      <x:c r="E60" s="72" t="n">
        <x:v>92700</x:v>
      </x:c>
      <x:c r="F60" s="72" t="n">
        <x:v>99027.95999999999</x:v>
      </x:c>
      <x:c r="G60" s="72" t="n">
        <x:v>98543.07999999999</x:v>
      </x:c>
      <x:c r="H60" s="72" t="n">
        <x:v>484.88</x:v>
      </x:c>
      <x:c r="I60" s="56" t="n">
        <x:v>0</x:v>
      </x:c>
      <x:c r="J60" s="56" t="n">
        <x:v>0</x:v>
      </x:c>
      <x:c r="K60" s="68" t="n">
        <x:f>IF(E60&lt;=0,"",G60/E60)</x:f>
        <x:v>1.0630321467098165</x:v>
      </x:c>
      <x:c r="L60" t="str">
        <x:f>IF(K60="","Not Calculated",IF(K60&lt;0.8,"Below 80%",IF(K60&lt;1,"80%-99.99%",IF(K60&lt;1.1,"100%-109.99%",IF(K60&lt;1.75,"110%-174.99%","175%+ Review")))))</x:f>
        <x:v>100%-109.99%</x:v>
      </x:c>
      <x:c r="M60" s="56" t="str">
        <x:v>Ready for Commission Calculation</x:v>
      </x:c>
      <x:c r="N60" s="74" t="n">
        <x:f>IF(E60&lt;=0,0,MIN(G60,E60*0.8)*0.01+MAX(0,MIN(G60,E60)-E60*0.8)*0.02)</x:f>
        <x:v>1112.4</x:v>
      </x:c>
      <x:c r="O60" s="74" t="n">
        <x:f>IF(E60&lt;=0,0,MAX(0,MIN(G60,E60*1.1)-E60)*0.035+MAX(0,G60-E60*1.1)*0.05)</x:f>
        <x:v>204.50779999999958</x:v>
      </x:c>
      <x:c r="P60" s="74" t="n">
        <x:f>N60+O60</x:f>
        <x:v>1316.9077999999997</x:v>
      </x:c>
      <x:c r="Q60" s="76" t="n">
        <x:f>IF(G60&lt;=0,0,P60/G60)</x:f>
        <x:v>0.013363777547850137</x:v>
      </x:c>
    </x:row>
    <x:row r="61">
      <x:c r="A61" s="56" t="str">
        <x:v>EMP005</x:v>
      </x:c>
      <x:c r="B61" s="56" t="str">
        <x:v>Sofia Rossi</x:v>
      </x:c>
      <x:c r="C61" s="56" t="str">
        <x:v>AE I</x:v>
      </x:c>
      <x:c r="D61" s="56" t="str">
        <x:v>2026-12</x:v>
      </x:c>
      <x:c r="E61" s="72" t="n">
        <x:v>103000</x:v>
      </x:c>
      <x:c r="F61" s="72" t="n">
        <x:v>113723.77999999998</x:v>
      </x:c>
      <x:c r="G61" s="72" t="n">
        <x:v>113596.73999999999</x:v>
      </x:c>
      <x:c r="H61" s="72" t="n">
        <x:v>127.04</x:v>
      </x:c>
      <x:c r="I61" s="56" t="n">
        <x:v>0</x:v>
      </x:c>
      <x:c r="J61" s="56" t="n">
        <x:v>0</x:v>
      </x:c>
      <x:c r="K61" s="68" t="n">
        <x:f>IF(E61&lt;=0,"",G61/E61)</x:f>
        <x:v>1.1028809708737863</x:v>
      </x:c>
      <x:c r="L61" t="str">
        <x:f>IF(K61="","Not Calculated",IF(K61&lt;0.8,"Below 80%",IF(K61&lt;1,"80%-99.99%",IF(K61&lt;1.1,"100%-109.99%",IF(K61&lt;1.75,"110%-174.99%","175%+ Review")))))</x:f>
        <x:v>110%-174.99%</x:v>
      </x:c>
      <x:c r="M61" s="56" t="str">
        <x:v>Ready for Commission Calculation</x:v>
      </x:c>
      <x:c r="N61" s="74" t="n">
        <x:f>IF(E61&lt;=0,0,MIN(G61,E61*0.8)*0.01+MAX(0,MIN(G61,E61)-E61*0.8)*0.02)</x:f>
        <x:v>1236</x:v>
      </x:c>
      <x:c r="O61" s="74" t="n">
        <x:f>IF(E61&lt;=0,0,MAX(0,MIN(G61,E61*1.1)-E61)*0.035+MAX(0,G61-E61*1.1)*0.05)</x:f>
        <x:v>375.33699999999936</x:v>
      </x:c>
      <x:c r="P61" s="74" t="n">
        <x:f>N61+O61</x:f>
        <x:v>1611.3369999999993</x:v>
      </x:c>
      <x:c r="Q61" s="76" t="n">
        <x:f>IF(G61&lt;=0,0,P61/G61)</x:f>
        <x:v>0.01418471163873188</x:v>
      </x:c>
    </x:row>
    <x:row r="62">
      <x:c r="A62" s="56" t="str">
        <x:v>EMP006</x:v>
      </x:c>
      <x:c r="B62" s="56" t="str">
        <x:v>Liam Thompson</x:v>
      </x:c>
      <x:c r="C62" s="56" t="str">
        <x:v>AE I</x:v>
      </x:c>
      <x:c r="D62" s="56" t="str">
        <x:v>2026-01</x:v>
      </x:c>
      <x:c r="E62" s="72" t="n">
        <x:v>74200</x:v>
      </x:c>
      <x:c r="F62" s="72" t="n">
        <x:v>69815.57</x:v>
      </x:c>
      <x:c r="G62" s="72" t="n">
        <x:v>69198.62000000001</x:v>
      </x:c>
      <x:c r="H62" s="72" t="n">
        <x:v>616.95</x:v>
      </x:c>
      <x:c r="I62" s="56" t="n">
        <x:v>0</x:v>
      </x:c>
      <x:c r="J62" s="56" t="n">
        <x:v>0</x:v>
      </x:c>
      <x:c r="K62" s="68" t="n">
        <x:f>IF(E62&lt;=0,"",G62/E62)</x:f>
        <x:v>0.9325959568733155</x:v>
      </x:c>
      <x:c r="L62" t="str">
        <x:f>IF(K62="","Not Calculated",IF(K62&lt;0.8,"Below 80%",IF(K62&lt;1,"80%-99.99%",IF(K62&lt;1.1,"100%-109.99%",IF(K62&lt;1.75,"110%-174.99%","175%+ Review")))))</x:f>
        <x:v>80%-99.99%</x:v>
      </x:c>
      <x:c r="M62" s="56" t="str">
        <x:v>Ready for Commission Calculation</x:v>
      </x:c>
      <x:c r="N62" s="74" t="n">
        <x:f>IF(E62&lt;=0,0,MIN(G62,E62*0.8)*0.01+MAX(0,MIN(G62,E62)-E62*0.8)*0.02)</x:f>
        <x:v>790.3724000000002</x:v>
      </x:c>
      <x:c r="O62" s="74" t="n">
        <x:f>IF(E62&lt;=0,0,MAX(0,MIN(G62,E62*1.1)-E62)*0.035+MAX(0,G62-E62*1.1)*0.05)</x:f>
        <x:v>0</x:v>
      </x:c>
      <x:c r="P62" s="74" t="n">
        <x:f>N62+O62</x:f>
        <x:v>790.3724000000002</x:v>
      </x:c>
      <x:c r="Q62" s="76" t="n">
        <x:f>IF(G62&lt;=0,0,P62/G62)</x:f>
        <x:v>0.011421794249654112</x:v>
      </x:c>
    </x:row>
    <x:row r="63">
      <x:c r="A63" s="56" t="str">
        <x:v>EMP006</x:v>
      </x:c>
      <x:c r="B63" s="56" t="str">
        <x:v>Liam Thompson</x:v>
      </x:c>
      <x:c r="C63" s="56" t="str">
        <x:v>AE I</x:v>
      </x:c>
      <x:c r="D63" s="56" t="str">
        <x:v>2026-02</x:v>
      </x:c>
      <x:c r="E63" s="72" t="n">
        <x:v>74200</x:v>
      </x:c>
      <x:c r="F63" s="72" t="n">
        <x:v>81812.76</x:v>
      </x:c>
      <x:c r="G63" s="72" t="n">
        <x:v>81812.76</x:v>
      </x:c>
      <x:c r="H63" s="72" t="n">
        <x:v>0</x:v>
      </x:c>
      <x:c r="I63" s="56" t="n">
        <x:v>0</x:v>
      </x:c>
      <x:c r="J63" s="56" t="n">
        <x:v>0</x:v>
      </x:c>
      <x:c r="K63" s="68" t="n">
        <x:f>IF(E63&lt;=0,"",G63/E63)</x:f>
        <x:v>1.1025978436657682</x:v>
      </x:c>
      <x:c r="L63" t="str">
        <x:f>IF(K63="","Not Calculated",IF(K63&lt;0.8,"Below 80%",IF(K63&lt;1,"80%-99.99%",IF(K63&lt;1.1,"100%-109.99%",IF(K63&lt;1.75,"110%-174.99%","175%+ Review")))))</x:f>
        <x:v>110%-174.99%</x:v>
      </x:c>
      <x:c r="M63" s="56" t="str">
        <x:v>Ready for Commission Calculation</x:v>
      </x:c>
      <x:c r="N63" s="74" t="n">
        <x:f>IF(E63&lt;=0,0,MIN(G63,E63*0.8)*0.01+MAX(0,MIN(G63,E63)-E63*0.8)*0.02)</x:f>
        <x:v>890.4000000000001</x:v>
      </x:c>
      <x:c r="O63" s="74" t="n">
        <x:f>IF(E63&lt;=0,0,MAX(0,MIN(G63,E63*1.1)-E63)*0.035+MAX(0,G63-E63*1.1)*0.05)</x:f>
        <x:v>269.3379999999998</x:v>
      </x:c>
      <x:c r="P63" s="74" t="n">
        <x:f>N63+O63</x:f>
        <x:v>1159.7379999999998</x:v>
      </x:c>
      <x:c r="Q63" s="76" t="n">
        <x:f>IF(G63&lt;=0,0,P63/G63)</x:f>
        <x:v>0.014175514919677565</x:v>
      </x:c>
    </x:row>
    <x:row r="64">
      <x:c r="A64" s="56" t="str">
        <x:v>EMP006</x:v>
      </x:c>
      <x:c r="B64" s="56" t="str">
        <x:v>Liam Thompson</x:v>
      </x:c>
      <x:c r="C64" s="56" t="str">
        <x:v>AE I</x:v>
      </x:c>
      <x:c r="D64" s="56" t="str">
        <x:v>2026-03</x:v>
      </x:c>
      <x:c r="E64" s="72" t="n">
        <x:v>84800</x:v>
      </x:c>
      <x:c r="F64" s="72" t="n">
        <x:v>87120.93</x:v>
      </x:c>
      <x:c r="G64" s="72" t="n">
        <x:v>86851.21999999999</x:v>
      </x:c>
      <x:c r="H64" s="72" t="n">
        <x:v>269.71</x:v>
      </x:c>
      <x:c r="I64" s="56" t="n">
        <x:v>0</x:v>
      </x:c>
      <x:c r="J64" s="56" t="n">
        <x:v>0</x:v>
      </x:c>
      <x:c r="K64" s="68" t="n">
        <x:f>IF(E64&lt;=0,"",G64/E64)</x:f>
        <x:v>1.0241889150943395</x:v>
      </x:c>
      <x:c r="L64" t="str">
        <x:f>IF(K64="","Not Calculated",IF(K64&lt;0.8,"Below 80%",IF(K64&lt;1,"80%-99.99%",IF(K64&lt;1.1,"100%-109.99%",IF(K64&lt;1.75,"110%-174.99%","175%+ Review")))))</x:f>
        <x:v>100%-109.99%</x:v>
      </x:c>
      <x:c r="M64" s="56" t="str">
        <x:v>Ready for Commission Calculation</x:v>
      </x:c>
      <x:c r="N64" s="74" t="n">
        <x:f>IF(E64&lt;=0,0,MIN(G64,E64*0.8)*0.01+MAX(0,MIN(G64,E64)-E64*0.8)*0.02)</x:f>
        <x:v>1017.5999999999999</x:v>
      </x:c>
      <x:c r="O64" s="74" t="n">
        <x:f>IF(E64&lt;=0,0,MAX(0,MIN(G64,E64*1.1)-E64)*0.035+MAX(0,G64-E64*1.1)*0.05)</x:f>
        <x:v>71.79269999999954</x:v>
      </x:c>
      <x:c r="P64" s="74" t="n">
        <x:f>N64+O64</x:f>
        <x:v>1089.3926999999994</x:v>
      </x:c>
      <x:c r="Q64" s="76" t="n">
        <x:f>IF(G64&lt;=0,0,P64/G64)</x:f>
        <x:v>0.012543205495558951</x:v>
      </x:c>
    </x:row>
    <x:row r="65">
      <x:c r="A65" s="56" t="str">
        <x:v>EMP006</x:v>
      </x:c>
      <x:c r="B65" s="56" t="str">
        <x:v>Liam Thompson</x:v>
      </x:c>
      <x:c r="C65" s="56" t="str">
        <x:v>AE I</x:v>
      </x:c>
      <x:c r="D65" s="56" t="str">
        <x:v>2026-04</x:v>
      </x:c>
      <x:c r="E65" s="72" t="n">
        <x:v>84800</x:v>
      </x:c>
      <x:c r="F65" s="72" t="n">
        <x:v>88758.37</x:v>
      </x:c>
      <x:c r="G65" s="72" t="n">
        <x:v>88758.37</x:v>
      </x:c>
      <x:c r="H65" s="72" t="n">
        <x:v>0</x:v>
      </x:c>
      <x:c r="I65" s="56" t="n">
        <x:v>0</x:v>
      </x:c>
      <x:c r="J65" s="56" t="n">
        <x:v>0</x:v>
      </x:c>
      <x:c r="K65" s="68" t="n">
        <x:f>IF(E65&lt;=0,"",G65/E65)</x:f>
        <x:v>1.0466788915094338</x:v>
      </x:c>
      <x:c r="L65" t="str">
        <x:f>IF(K65="","Not Calculated",IF(K65&lt;0.8,"Below 80%",IF(K65&lt;1,"80%-99.99%",IF(K65&lt;1.1,"100%-109.99%",IF(K65&lt;1.75,"110%-174.99%","175%+ Review")))))</x:f>
        <x:v>100%-109.99%</x:v>
      </x:c>
      <x:c r="M65" s="56" t="str">
        <x:v>Ready for Commission Calculation</x:v>
      </x:c>
      <x:c r="N65" s="74" t="n">
        <x:f>IF(E65&lt;=0,0,MIN(G65,E65*0.8)*0.01+MAX(0,MIN(G65,E65)-E65*0.8)*0.02)</x:f>
        <x:v>1017.5999999999999</x:v>
      </x:c>
      <x:c r="O65" s="74" t="n">
        <x:f>IF(E65&lt;=0,0,MAX(0,MIN(G65,E65*1.1)-E65)*0.035+MAX(0,G65-E65*1.1)*0.05)</x:f>
        <x:v>138.54294999999985</x:v>
      </x:c>
      <x:c r="P65" s="74" t="n">
        <x:f>N65+O65</x:f>
        <x:v>1156.1429499999997</x:v>
      </x:c>
      <x:c r="Q65" s="76" t="n">
        <x:f>IF(G65&lt;=0,0,P65/G65)</x:f>
        <x:v>0.013025734361728361</x:v>
      </x:c>
    </x:row>
    <x:row r="66">
      <x:c r="A66" s="56" t="str">
        <x:v>EMP006</x:v>
      </x:c>
      <x:c r="B66" s="56" t="str">
        <x:v>Liam Thompson</x:v>
      </x:c>
      <x:c r="C66" s="56" t="str">
        <x:v>AE I</x:v>
      </x:c>
      <x:c r="D66" s="56" t="str">
        <x:v>2026-05</x:v>
      </x:c>
      <x:c r="E66" s="72" t="n">
        <x:v>84800</x:v>
      </x:c>
      <x:c r="F66" s="72" t="n">
        <x:v>87339.68999999999</x:v>
      </x:c>
      <x:c r="G66" s="72" t="n">
        <x:v>87339.68999999999</x:v>
      </x:c>
      <x:c r="H66" s="72" t="n">
        <x:v>0</x:v>
      </x:c>
      <x:c r="I66" s="56" t="n">
        <x:v>0</x:v>
      </x:c>
      <x:c r="J66" s="56" t="n">
        <x:v>0</x:v>
      </x:c>
      <x:c r="K66" s="68" t="n">
        <x:f>IF(E66&lt;=0,"",G66/E66)</x:f>
        <x:v>1.0299491745283018</x:v>
      </x:c>
      <x:c r="L66" t="str">
        <x:f>IF(K66="","Not Calculated",IF(K66&lt;0.8,"Below 80%",IF(K66&lt;1,"80%-99.99%",IF(K66&lt;1.1,"100%-109.99%",IF(K66&lt;1.75,"110%-174.99%","175%+ Review")))))</x:f>
        <x:v>100%-109.99%</x:v>
      </x:c>
      <x:c r="M66" s="56" t="str">
        <x:v>Ready for Commission Calculation</x:v>
      </x:c>
      <x:c r="N66" s="74" t="n">
        <x:f>IF(E66&lt;=0,0,MIN(G66,E66*0.8)*0.01+MAX(0,MIN(G66,E66)-E66*0.8)*0.02)</x:f>
        <x:v>1017.5999999999999</x:v>
      </x:c>
      <x:c r="O66" s="74" t="n">
        <x:f>IF(E66&lt;=0,0,MAX(0,MIN(G66,E66*1.1)-E66)*0.035+MAX(0,G66-E66*1.1)*0.05)</x:f>
        <x:v>88.88914999999957</x:v>
      </x:c>
      <x:c r="P66" s="74" t="n">
        <x:f>N66+O66</x:f>
        <x:v>1106.4891499999994</x:v>
      </x:c>
      <x:c r="Q66" s="76" t="n">
        <x:f>IF(G66&lt;=0,0,P66/G66)</x:f>
        <x:v>0.012668800976967053</x:v>
      </x:c>
    </x:row>
    <x:row r="67">
      <x:c r="A67" s="56" t="str">
        <x:v>EMP006</x:v>
      </x:c>
      <x:c r="B67" s="56" t="str">
        <x:v>Liam Thompson</x:v>
      </x:c>
      <x:c r="C67" s="56" t="str">
        <x:v>AE I</x:v>
      </x:c>
      <x:c r="D67" s="56" t="str">
        <x:v>2026-06</x:v>
      </x:c>
      <x:c r="E67" s="72" t="n">
        <x:v>95400</x:v>
      </x:c>
      <x:c r="F67" s="72" t="n">
        <x:v>110462.34</x:v>
      </x:c>
      <x:c r="G67" s="72" t="n">
        <x:v>110462.34</x:v>
      </x:c>
      <x:c r="H67" s="72" t="n">
        <x:v>0</x:v>
      </x:c>
      <x:c r="I67" s="56" t="n">
        <x:v>0</x:v>
      </x:c>
      <x:c r="J67" s="56" t="n">
        <x:v>0</x:v>
      </x:c>
      <x:c r="K67" s="68" t="n">
        <x:f>IF(E67&lt;=0,"",G67/E67)</x:f>
        <x:v>1.1578861635220126</x:v>
      </x:c>
      <x:c r="L67" t="str">
        <x:f>IF(K67="","Not Calculated",IF(K67&lt;0.8,"Below 80%",IF(K67&lt;1,"80%-99.99%",IF(K67&lt;1.1,"100%-109.99%",IF(K67&lt;1.75,"110%-174.99%","175%+ Review")))))</x:f>
        <x:v>110%-174.99%</x:v>
      </x:c>
      <x:c r="M67" s="56" t="str">
        <x:v>Ready for Commission Calculation</x:v>
      </x:c>
      <x:c r="N67" s="74" t="n">
        <x:f>IF(E67&lt;=0,0,MIN(G67,E67*0.8)*0.01+MAX(0,MIN(G67,E67)-E67*0.8)*0.02)</x:f>
        <x:v>1144.8000000000002</x:v>
      </x:c>
      <x:c r="O67" s="74" t="n">
        <x:f>IF(E67&lt;=0,0,MAX(0,MIN(G67,E67*1.1)-E67)*0.035+MAX(0,G67-E67*1.1)*0.05)</x:f>
        <x:v>610.0169999999996</x:v>
      </x:c>
      <x:c r="P67" s="74" t="n">
        <x:f>N67+O67</x:f>
        <x:v>1754.8169999999998</x:v>
      </x:c>
      <x:c r="Q67" s="76" t="n">
        <x:f>IF(G67&lt;=0,0,P67/G67)</x:f>
        <x:v>0.015886111049249904</x:v>
      </x:c>
    </x:row>
    <x:row r="68">
      <x:c r="A68" s="56" t="str">
        <x:v>EMP006</x:v>
      </x:c>
      <x:c r="B68" s="56" t="str">
        <x:v>Liam Thompson</x:v>
      </x:c>
      <x:c r="C68" s="56" t="str">
        <x:v>AE I</x:v>
      </x:c>
      <x:c r="D68" s="56" t="str">
        <x:v>2026-07</x:v>
      </x:c>
      <x:c r="E68" s="72" t="n">
        <x:v>74200</x:v>
      </x:c>
      <x:c r="F68" s="72" t="n">
        <x:v>68181.24</x:v>
      </x:c>
      <x:c r="G68" s="72" t="n">
        <x:v>67998.33</x:v>
      </x:c>
      <x:c r="H68" s="72" t="n">
        <x:v>182.91</x:v>
      </x:c>
      <x:c r="I68" s="56" t="n">
        <x:v>0</x:v>
      </x:c>
      <x:c r="J68" s="56" t="n">
        <x:v>0</x:v>
      </x:c>
      <x:c r="K68" s="68" t="n">
        <x:f>IF(E68&lt;=0,"",G68/E68)</x:f>
        <x:v>0.9164195417789758</x:v>
      </x:c>
      <x:c r="L68" t="str">
        <x:f>IF(K68="","Not Calculated",IF(K68&lt;0.8,"Below 80%",IF(K68&lt;1,"80%-99.99%",IF(K68&lt;1.1,"100%-109.99%",IF(K68&lt;1.75,"110%-174.99%","175%+ Review")))))</x:f>
        <x:v>80%-99.99%</x:v>
      </x:c>
      <x:c r="M68" s="56" t="str">
        <x:v>Ready for Commission Calculation</x:v>
      </x:c>
      <x:c r="N68" s="74" t="n">
        <x:f>IF(E68&lt;=0,0,MIN(G68,E68*0.8)*0.01+MAX(0,MIN(G68,E68)-E68*0.8)*0.02)</x:f>
        <x:v>766.3666000000001</x:v>
      </x:c>
      <x:c r="O68" s="74" t="n">
        <x:f>IF(E68&lt;=0,0,MAX(0,MIN(G68,E68*1.1)-E68)*0.035+MAX(0,G68-E68*1.1)*0.05)</x:f>
        <x:v>0</x:v>
      </x:c>
      <x:c r="P68" s="74" t="n">
        <x:f>N68+O68</x:f>
        <x:v>766.3666000000001</x:v>
      </x:c>
      <x:c r="Q68" s="76" t="n">
        <x:f>IF(G68&lt;=0,0,P68/G68)</x:f>
        <x:v>0.011270373845945923</x:v>
      </x:c>
    </x:row>
    <x:row r="69">
      <x:c r="A69" s="56" t="str">
        <x:v>EMP006</x:v>
      </x:c>
      <x:c r="B69" s="56" t="str">
        <x:v>Liam Thompson</x:v>
      </x:c>
      <x:c r="C69" s="56" t="str">
        <x:v>AE I</x:v>
      </x:c>
      <x:c r="D69" s="56" t="str">
        <x:v>2026-08</x:v>
      </x:c>
      <x:c r="E69" s="72" t="n">
        <x:v>74200</x:v>
      </x:c>
      <x:c r="F69" s="72" t="n">
        <x:v>77457.5</x:v>
      </x:c>
      <x:c r="G69" s="72" t="n">
        <x:v>76815.79</x:v>
      </x:c>
      <x:c r="H69" s="72" t="n">
        <x:v>641.71</x:v>
      </x:c>
      <x:c r="I69" s="56" t="n">
        <x:v>0</x:v>
      </x:c>
      <x:c r="J69" s="56" t="n">
        <x:v>0</x:v>
      </x:c>
      <x:c r="K69" s="68" t="n">
        <x:f>IF(E69&lt;=0,"",G69/E69)</x:f>
        <x:v>1.0352532345013477</x:v>
      </x:c>
      <x:c r="L69" t="str">
        <x:f>IF(K69="","Not Calculated",IF(K69&lt;0.8,"Below 80%",IF(K69&lt;1,"80%-99.99%",IF(K69&lt;1.1,"100%-109.99%",IF(K69&lt;1.75,"110%-174.99%","175%+ Review")))))</x:f>
        <x:v>100%-109.99%</x:v>
      </x:c>
      <x:c r="M69" s="56" t="str">
        <x:v>Ready for Commission Calculation</x:v>
      </x:c>
      <x:c r="N69" s="74" t="n">
        <x:f>IF(E69&lt;=0,0,MIN(G69,E69*0.8)*0.01+MAX(0,MIN(G69,E69)-E69*0.8)*0.02)</x:f>
        <x:v>890.4000000000001</x:v>
      </x:c>
      <x:c r="O69" s="74" t="n">
        <x:f>IF(E69&lt;=0,0,MAX(0,MIN(G69,E69*1.1)-E69)*0.035+MAX(0,G69-E69*1.1)*0.05)</x:f>
        <x:v>91.55264999999979</x:v>
      </x:c>
      <x:c r="P69" s="74" t="n">
        <x:f>N69+O69</x:f>
        <x:v>981.9526499999998</x:v>
      </x:c>
      <x:c r="Q69" s="76" t="n">
        <x:f>IF(G69&lt;=0,0,P69/G69)</x:f>
        <x:v>0.012783213581478494</x:v>
      </x:c>
    </x:row>
    <x:row r="70">
      <x:c r="A70" s="56" t="str">
        <x:v>EMP006</x:v>
      </x:c>
      <x:c r="B70" s="56" t="str">
        <x:v>Liam Thompson</x:v>
      </x:c>
      <x:c r="C70" s="56" t="str">
        <x:v>AE I</x:v>
      </x:c>
      <x:c r="D70" s="56" t="str">
        <x:v>2026-09</x:v>
      </x:c>
      <x:c r="E70" s="72" t="n">
        <x:v>106000</x:v>
      </x:c>
      <x:c r="F70" s="72" t="n">
        <x:v>126039.72000000002</x:v>
      </x:c>
      <x:c r="G70" s="72" t="n">
        <x:v>111676.33</x:v>
      </x:c>
      <x:c r="H70" s="72" t="n">
        <x:v>14363.390000000001</x:v>
      </x:c>
      <x:c r="I70" s="56" t="n">
        <x:v>0</x:v>
      </x:c>
      <x:c r="J70" s="56" t="n">
        <x:v>0</x:v>
      </x:c>
      <x:c r="K70" s="68" t="n">
        <x:f>IF(E70&lt;=0,"",G70/E70)</x:f>
        <x:v>1.0535502830188679</x:v>
      </x:c>
      <x:c r="L70" t="str">
        <x:f>IF(K70="","Not Calculated",IF(K70&lt;0.8,"Below 80%",IF(K70&lt;1,"80%-99.99%",IF(K70&lt;1.1,"100%-109.99%",IF(K70&lt;1.75,"110%-174.99%","175%+ Review")))))</x:f>
        <x:v>100%-109.99%</x:v>
      </x:c>
      <x:c r="M70" s="56" t="str">
        <x:v>Ready for Commission Calculation</x:v>
      </x:c>
      <x:c r="N70" s="74" t="n">
        <x:f>IF(E70&lt;=0,0,MIN(G70,E70*0.8)*0.01+MAX(0,MIN(G70,E70)-E70*0.8)*0.02)</x:f>
        <x:v>1272</x:v>
      </x:c>
      <x:c r="O70" s="74" t="n">
        <x:f>IF(E70&lt;=0,0,MAX(0,MIN(G70,E70*1.1)-E70)*0.035+MAX(0,G70-E70*1.1)*0.05)</x:f>
        <x:v>198.67155000000008</x:v>
      </x:c>
      <x:c r="P70" s="74" t="n">
        <x:f>N70+O70</x:f>
        <x:v>1470.67155</x:v>
      </x:c>
      <x:c r="Q70" s="76" t="n">
        <x:f>IF(G70&lt;=0,0,P70/G70)</x:f>
        <x:v>0.013169053370575484</x:v>
      </x:c>
    </x:row>
    <x:row r="71">
      <x:c r="A71" s="56" t="str">
        <x:v>EMP006</x:v>
      </x:c>
      <x:c r="B71" s="56" t="str">
        <x:v>Liam Thompson</x:v>
      </x:c>
      <x:c r="C71" s="56" t="str">
        <x:v>AE I</x:v>
      </x:c>
      <x:c r="D71" s="56" t="str">
        <x:v>2026-10</x:v>
      </x:c>
      <x:c r="E71" s="72" t="n">
        <x:v>106000</x:v>
      </x:c>
      <x:c r="F71" s="72" t="n">
        <x:v>118936.36000000002</x:v>
      </x:c>
      <x:c r="G71" s="72" t="n">
        <x:v>118936.36000000002</x:v>
      </x:c>
      <x:c r="H71" s="72" t="n">
        <x:v>0</x:v>
      </x:c>
      <x:c r="I71" s="56" t="n">
        <x:v>0</x:v>
      </x:c>
      <x:c r="J71" s="56" t="n">
        <x:v>0</x:v>
      </x:c>
      <x:c r="K71" s="68" t="n">
        <x:f>IF(E71&lt;=0,"",G71/E71)</x:f>
        <x:v>1.1220411320754717</x:v>
      </x:c>
      <x:c r="L71" t="str">
        <x:f>IF(K71="","Not Calculated",IF(K71&lt;0.8,"Below 80%",IF(K71&lt;1,"80%-99.99%",IF(K71&lt;1.1,"100%-109.99%",IF(K71&lt;1.75,"110%-174.99%","175%+ Review")))))</x:f>
        <x:v>110%-174.99%</x:v>
      </x:c>
      <x:c r="M71" s="56" t="str">
        <x:v>Ready for Commission Calculation</x:v>
      </x:c>
      <x:c r="N71" s="74" t="n">
        <x:f>IF(E71&lt;=0,0,MIN(G71,E71*0.8)*0.01+MAX(0,MIN(G71,E71)-E71*0.8)*0.02)</x:f>
        <x:v>1272</x:v>
      </x:c>
      <x:c r="O71" s="74" t="n">
        <x:f>IF(E71&lt;=0,0,MAX(0,MIN(G71,E71*1.1)-E71)*0.035+MAX(0,G71-E71*1.1)*0.05)</x:f>
        <x:v>487.8180000000006</x:v>
      </x:c>
      <x:c r="P71" s="74" t="n">
        <x:f>N71+O71</x:f>
        <x:v>1759.8180000000007</x:v>
      </x:c>
      <x:c r="Q71" s="76" t="n">
        <x:f>IF(G71&lt;=0,0,P71/G71)</x:f>
        <x:v>0.014796299466370086</x:v>
      </x:c>
    </x:row>
    <x:row r="72">
      <x:c r="A72" s="56" t="str">
        <x:v>EMP006</x:v>
      </x:c>
      <x:c r="B72" s="56" t="str">
        <x:v>Liam Thompson</x:v>
      </x:c>
      <x:c r="C72" s="56" t="str">
        <x:v>AE I</x:v>
      </x:c>
      <x:c r="D72" s="56" t="str">
        <x:v>2026-11</x:v>
      </x:c>
      <x:c r="E72" s="72" t="n">
        <x:v>95400</x:v>
      </x:c>
      <x:c r="F72" s="72" t="n">
        <x:v>84664.2</x:v>
      </x:c>
      <x:c r="G72" s="72" t="n">
        <x:v>84465.95</x:v>
      </x:c>
      <x:c r="H72" s="72" t="n">
        <x:v>198.25</x:v>
      </x:c>
      <x:c r="I72" s="56" t="n">
        <x:v>0</x:v>
      </x:c>
      <x:c r="J72" s="56" t="n">
        <x:v>0</x:v>
      </x:c>
      <x:c r="K72" s="68" t="n">
        <x:f>IF(E72&lt;=0,"",G72/E72)</x:f>
        <x:v>0.8853873165618449</x:v>
      </x:c>
      <x:c r="L72" t="str">
        <x:f>IF(K72="","Not Calculated",IF(K72&lt;0.8,"Below 80%",IF(K72&lt;1,"80%-99.99%",IF(K72&lt;1.1,"100%-109.99%",IF(K72&lt;1.75,"110%-174.99%","175%+ Review")))))</x:f>
        <x:v>80%-99.99%</x:v>
      </x:c>
      <x:c r="M72" s="56" t="str">
        <x:v>Ready for Commission Calculation</x:v>
      </x:c>
      <x:c r="N72" s="74" t="n">
        <x:f>IF(E72&lt;=0,0,MIN(G72,E72*0.8)*0.01+MAX(0,MIN(G72,E72)-E72*0.8)*0.02)</x:f>
        <x:v>926.119</x:v>
      </x:c>
      <x:c r="O72" s="74" t="n">
        <x:f>IF(E72&lt;=0,0,MAX(0,MIN(G72,E72*1.1)-E72)*0.035+MAX(0,G72-E72*1.1)*0.05)</x:f>
        <x:v>0</x:v>
      </x:c>
      <x:c r="P72" s="74" t="n">
        <x:f>N72+O72</x:f>
        <x:v>926.119</x:v>
      </x:c>
      <x:c r="Q72" s="76" t="n">
        <x:f>IF(G72&lt;=0,0,P72/G72)</x:f>
        <x:v>0.010964406367299487</x:v>
      </x:c>
    </x:row>
    <x:row r="73">
      <x:c r="A73" s="56" t="str">
        <x:v>EMP006</x:v>
      </x:c>
      <x:c r="B73" s="56" t="str">
        <x:v>Liam Thompson</x:v>
      </x:c>
      <x:c r="C73" s="56" t="str">
        <x:v>AE I</x:v>
      </x:c>
      <x:c r="D73" s="56" t="str">
        <x:v>2026-12</x:v>
      </x:c>
      <x:c r="E73" s="72" t="n">
        <x:v>106000</x:v>
      </x:c>
      <x:c r="F73" s="72" t="n">
        <x:v>110301.11999999998</x:v>
      </x:c>
      <x:c r="G73" s="72" t="n">
        <x:v>108519.39</x:v>
      </x:c>
      <x:c r="H73" s="72" t="n">
        <x:v>1781.73</x:v>
      </x:c>
      <x:c r="I73" s="56" t="n">
        <x:v>0</x:v>
      </x:c>
      <x:c r="J73" s="56" t="n">
        <x:v>0</x:v>
      </x:c>
      <x:c r="K73" s="68" t="n">
        <x:f>IF(E73&lt;=0,"",G73/E73)</x:f>
        <x:v>1.0237678301886792</x:v>
      </x:c>
      <x:c r="L73" t="str">
        <x:f>IF(K73="","Not Calculated",IF(K73&lt;0.8,"Below 80%",IF(K73&lt;1,"80%-99.99%",IF(K73&lt;1.1,"100%-109.99%",IF(K73&lt;1.75,"110%-174.99%","175%+ Review")))))</x:f>
        <x:v>100%-109.99%</x:v>
      </x:c>
      <x:c r="M73" s="56" t="str">
        <x:v>Ready for Commission Calculation</x:v>
      </x:c>
      <x:c r="N73" s="74" t="n">
        <x:f>IF(E73&lt;=0,0,MIN(G73,E73*0.8)*0.01+MAX(0,MIN(G73,E73)-E73*0.8)*0.02)</x:f>
        <x:v>1272</x:v>
      </x:c>
      <x:c r="O73" s="74" t="n">
        <x:f>IF(E73&lt;=0,0,MAX(0,MIN(G73,E73*1.1)-E73)*0.035+MAX(0,G73-E73*1.1)*0.05)</x:f>
        <x:v>88.17864999999999</x:v>
      </x:c>
      <x:c r="P73" s="74" t="n">
        <x:f>N73+O73</x:f>
        <x:v>1360.17865</x:v>
      </x:c>
      <x:c r="Q73" s="76" t="n">
        <x:f>IF(G73&lt;=0,0,P73/G73)</x:f>
        <x:v>0.012533968814236792</x:v>
      </x:c>
    </x:row>
    <x:row r="74">
      <x:c r="A74" s="56" t="str">
        <x:v>EMP007</x:v>
      </x:c>
      <x:c r="B74" s="56" t="str">
        <x:v>Ava Singh</x:v>
      </x:c>
      <x:c r="C74" s="56" t="str">
        <x:v>AE II</x:v>
      </x:c>
      <x:c r="D74" s="56" t="str">
        <x:v>2026-01</x:v>
      </x:c>
      <x:c r="E74" s="72" t="n">
        <x:v>92400.00000000001</x:v>
      </x:c>
      <x:c r="F74" s="72" t="n">
        <x:v>105135.51000000001</x:v>
      </x:c>
      <x:c r="G74" s="72" t="n">
        <x:v>104828.86</x:v>
      </x:c>
      <x:c r="H74" s="72" t="n">
        <x:v>306.65</x:v>
      </x:c>
      <x:c r="I74" s="56" t="n">
        <x:v>0</x:v>
      </x:c>
      <x:c r="J74" s="56" t="n">
        <x:v>0</x:v>
      </x:c>
      <x:c r="K74" s="68" t="n">
        <x:f>IF(E74&lt;=0,"",G74/E74)</x:f>
        <x:v>1.1345114718614717</x:v>
      </x:c>
      <x:c r="L74" t="str">
        <x:f>IF(K74="","Not Calculated",IF(K74&lt;0.8,"Below 80%",IF(K74&lt;1,"80%-99.99%",IF(K74&lt;1.1,"100%-109.99%",IF(K74&lt;1.75,"110%-174.99%","175%+ Review")))))</x:f>
        <x:v>110%-174.99%</x:v>
      </x:c>
      <x:c r="M74" s="56" t="str">
        <x:v>Ready for Commission Calculation</x:v>
      </x:c>
      <x:c r="N74" s="74" t="n">
        <x:f>IF(E74&lt;=0,0,MIN(G74,E74*0.8)*0.01+MAX(0,MIN(G74,E74)-E74*0.8)*0.02)</x:f>
        <x:v>1108.8000000000002</x:v>
      </x:c>
      <x:c r="O74" s="74" t="n">
        <x:f>IF(E74&lt;=0,0,MAX(0,MIN(G74,E74*1.1)-E74)*0.035+MAX(0,G74-E74*1.1)*0.05)</x:f>
        <x:v>482.84299999999917</x:v>
      </x:c>
      <x:c r="P74" s="74" t="n">
        <x:f>N74+O74</x:f>
        <x:v>1591.6429999999993</x:v>
      </x:c>
      <x:c r="Q74" s="76" t="n">
        <x:f>IF(G74&lt;=0,0,P74/G74)</x:f>
        <x:v>0.015183252016667923</x:v>
      </x:c>
    </x:row>
    <x:row r="75">
      <x:c r="A75" s="56" t="str">
        <x:v>EMP007</x:v>
      </x:c>
      <x:c r="B75" s="56" t="str">
        <x:v>Ava Singh</x:v>
      </x:c>
      <x:c r="C75" s="56" t="str">
        <x:v>AE II</x:v>
      </x:c>
      <x:c r="D75" s="56" t="str">
        <x:v>2026-02</x:v>
      </x:c>
      <x:c r="E75" s="72" t="n">
        <x:v>92400.00000000001</x:v>
      </x:c>
      <x:c r="F75" s="72" t="n">
        <x:v>91118.51999999999</x:v>
      </x:c>
      <x:c r="G75" s="72" t="n">
        <x:v>90617.9</x:v>
      </x:c>
      <x:c r="H75" s="72" t="n">
        <x:v>500.62</x:v>
      </x:c>
      <x:c r="I75" s="56" t="n">
        <x:v>0</x:v>
      </x:c>
      <x:c r="J75" s="56" t="n">
        <x:v>0</x:v>
      </x:c>
      <x:c r="K75" s="68" t="n">
        <x:f>IF(E75&lt;=0,"",G75/E75)</x:f>
        <x:v>0.9807132034632032</x:v>
      </x:c>
      <x:c r="L75" t="str">
        <x:f>IF(K75="","Not Calculated",IF(K75&lt;0.8,"Below 80%",IF(K75&lt;1,"80%-99.99%",IF(K75&lt;1.1,"100%-109.99%",IF(K75&lt;1.75,"110%-174.99%","175%+ Review")))))</x:f>
        <x:v>80%-99.99%</x:v>
      </x:c>
      <x:c r="M75" s="56" t="str">
        <x:v>Ready for Commission Calculation</x:v>
      </x:c>
      <x:c r="N75" s="74" t="n">
        <x:f>IF(E75&lt;=0,0,MIN(G75,E75*0.8)*0.01+MAX(0,MIN(G75,E75)-E75*0.8)*0.02)</x:f>
        <x:v>1073.1579999999997</x:v>
      </x:c>
      <x:c r="O75" s="74" t="n">
        <x:f>IF(E75&lt;=0,0,MAX(0,MIN(G75,E75*1.1)-E75)*0.035+MAX(0,G75-E75*1.1)*0.05)</x:f>
        <x:v>0</x:v>
      </x:c>
      <x:c r="P75" s="74" t="n">
        <x:f>N75+O75</x:f>
        <x:v>1073.1579999999997</x:v>
      </x:c>
      <x:c r="Q75" s="76" t="n">
        <x:f>IF(G75&lt;=0,0,P75/G75)</x:f>
        <x:v>0.011842671260313908</x:v>
      </x:c>
    </x:row>
    <x:row r="76">
      <x:c r="A76" s="56" t="str">
        <x:v>EMP007</x:v>
      </x:c>
      <x:c r="B76" s="56" t="str">
        <x:v>Ava Singh</x:v>
      </x:c>
      <x:c r="C76" s="56" t="str">
        <x:v>AE II</x:v>
      </x:c>
      <x:c r="D76" s="56" t="str">
        <x:v>2026-03</x:v>
      </x:c>
      <x:c r="E76" s="72" t="n">
        <x:v>105600</x:v>
      </x:c>
      <x:c r="F76" s="72" t="n">
        <x:v>112115.44999999998</x:v>
      </x:c>
      <x:c r="G76" s="72" t="n">
        <x:v>111932.51999999999</x:v>
      </x:c>
      <x:c r="H76" s="72" t="n">
        <x:v>182.93</x:v>
      </x:c>
      <x:c r="I76" s="56" t="n">
        <x:v>0</x:v>
      </x:c>
      <x:c r="J76" s="56" t="n">
        <x:v>0</x:v>
      </x:c>
      <x:c r="K76" s="68" t="n">
        <x:f>IF(E76&lt;=0,"",G76/E76)</x:f>
        <x:v>1.0599670454545453</x:v>
      </x:c>
      <x:c r="L76" t="str">
        <x:f>IF(K76="","Not Calculated",IF(K76&lt;0.8,"Below 80%",IF(K76&lt;1,"80%-99.99%",IF(K76&lt;1.1,"100%-109.99%",IF(K76&lt;1.75,"110%-174.99%","175%+ Review")))))</x:f>
        <x:v>100%-109.99%</x:v>
      </x:c>
      <x:c r="M76" s="56" t="str">
        <x:v>Ready for Commission Calculation</x:v>
      </x:c>
      <x:c r="N76" s="74" t="n">
        <x:f>IF(E76&lt;=0,0,MIN(G76,E76*0.8)*0.01+MAX(0,MIN(G76,E76)-E76*0.8)*0.02)</x:f>
        <x:v>1267.2</x:v>
      </x:c>
      <x:c r="O76" s="74" t="n">
        <x:f>IF(E76&lt;=0,0,MAX(0,MIN(G76,E76*1.1)-E76)*0.035+MAX(0,G76-E76*1.1)*0.05)</x:f>
        <x:v>221.63819999999964</x:v>
      </x:c>
      <x:c r="P76" s="74" t="n">
        <x:f>N76+O76</x:f>
        <x:v>1488.8381999999997</x:v>
      </x:c>
      <x:c r="Q76" s="76" t="n">
        <x:f>IF(G76&lt;=0,0,P76/G76)</x:f>
        <x:v>0.01330121219463298</x:v>
      </x:c>
    </x:row>
    <x:row r="77">
      <x:c r="A77" s="56" t="str">
        <x:v>EMP007</x:v>
      </x:c>
      <x:c r="B77" s="56" t="str">
        <x:v>Ava Singh</x:v>
      </x:c>
      <x:c r="C77" s="56" t="str">
        <x:v>AE II</x:v>
      </x:c>
      <x:c r="D77" s="56" t="str">
        <x:v>2026-04</x:v>
      </x:c>
      <x:c r="E77" s="72" t="n">
        <x:v>105600</x:v>
      </x:c>
      <x:c r="F77" s="72" t="n">
        <x:v>123236.76000000001</x:v>
      </x:c>
      <x:c r="G77" s="72" t="n">
        <x:v>122366.67000000001</x:v>
      </x:c>
      <x:c r="H77" s="72" t="n">
        <x:v>870.09</x:v>
      </x:c>
      <x:c r="I77" s="56" t="n">
        <x:v>0</x:v>
      </x:c>
      <x:c r="J77" s="56" t="n">
        <x:v>0</x:v>
      </x:c>
      <x:c r="K77" s="68" t="n">
        <x:f>IF(E77&lt;=0,"",G77/E77)</x:f>
        <x:v>1.1587752840909091</x:v>
      </x:c>
      <x:c r="L77" t="str">
        <x:f>IF(K77="","Not Calculated",IF(K77&lt;0.8,"Below 80%",IF(K77&lt;1,"80%-99.99%",IF(K77&lt;1.1,"100%-109.99%",IF(K77&lt;1.75,"110%-174.99%","175%+ Review")))))</x:f>
        <x:v>110%-174.99%</x:v>
      </x:c>
      <x:c r="M77" s="56" t="str">
        <x:v>Ready for Commission Calculation</x:v>
      </x:c>
      <x:c r="N77" s="74" t="n">
        <x:f>IF(E77&lt;=0,0,MIN(G77,E77*0.8)*0.01+MAX(0,MIN(G77,E77)-E77*0.8)*0.02)</x:f>
        <x:v>1267.2</x:v>
      </x:c>
      <x:c r="O77" s="74" t="n">
        <x:f>IF(E77&lt;=0,0,MAX(0,MIN(G77,E77*1.1)-E77)*0.035+MAX(0,G77-E77*1.1)*0.05)</x:f>
        <x:v>679.9335000000005</x:v>
      </x:c>
      <x:c r="P77" s="74" t="n">
        <x:f>N77+O77</x:f>
        <x:v>1947.1335000000006</x:v>
      </x:c>
      <x:c r="Q77" s="76" t="n">
        <x:f>IF(G77&lt;=0,0,P77/G77)</x:f>
        <x:v>0.015912286409362944</x:v>
      </x:c>
    </x:row>
    <x:row r="78">
      <x:c r="A78" s="56" t="str">
        <x:v>EMP007</x:v>
      </x:c>
      <x:c r="B78" s="56" t="str">
        <x:v>Ava Singh</x:v>
      </x:c>
      <x:c r="C78" s="56" t="str">
        <x:v>AE II</x:v>
      </x:c>
      <x:c r="D78" s="56" t="str">
        <x:v>2026-05</x:v>
      </x:c>
      <x:c r="E78" s="72" t="n">
        <x:v>105600</x:v>
      </x:c>
      <x:c r="F78" s="72" t="n">
        <x:v>110864.34</x:v>
      </x:c>
      <x:c r="G78" s="72" t="n">
        <x:v>109574.23999999999</x:v>
      </x:c>
      <x:c r="H78" s="72" t="n">
        <x:v>1290.1</x:v>
      </x:c>
      <x:c r="I78" s="56" t="n">
        <x:v>0</x:v>
      </x:c>
      <x:c r="J78" s="56" t="n">
        <x:v>0</x:v>
      </x:c>
      <x:c r="K78" s="68" t="n">
        <x:f>IF(E78&lt;=0,"",G78/E78)</x:f>
        <x:v>1.0376348484848483</x:v>
      </x:c>
      <x:c r="L78" t="str">
        <x:f>IF(K78="","Not Calculated",IF(K78&lt;0.8,"Below 80%",IF(K78&lt;1,"80%-99.99%",IF(K78&lt;1.1,"100%-109.99%",IF(K78&lt;1.75,"110%-174.99%","175%+ Review")))))</x:f>
        <x:v>100%-109.99%</x:v>
      </x:c>
      <x:c r="M78" s="56" t="str">
        <x:v>Ready for Commission Calculation</x:v>
      </x:c>
      <x:c r="N78" s="74" t="n">
        <x:f>IF(E78&lt;=0,0,MIN(G78,E78*0.8)*0.01+MAX(0,MIN(G78,E78)-E78*0.8)*0.02)</x:f>
        <x:v>1267.2</x:v>
      </x:c>
      <x:c r="O78" s="74" t="n">
        <x:f>IF(E78&lt;=0,0,MAX(0,MIN(G78,E78*1.1)-E78)*0.035+MAX(0,G78-E78*1.1)*0.05)</x:f>
        <x:v>139.09839999999969</x:v>
      </x:c>
      <x:c r="P78" s="74" t="n">
        <x:f>N78+O78</x:f>
        <x:v>1406.2983999999997</x:v>
      </x:c>
      <x:c r="Q78" s="76" t="n">
        <x:f>IF(G78&lt;=0,0,P78/G78)</x:f>
        <x:v>0.012834206287901242</x:v>
      </x:c>
    </x:row>
    <x:row r="79">
      <x:c r="A79" s="56" t="str">
        <x:v>EMP007</x:v>
      </x:c>
      <x:c r="B79" s="56" t="str">
        <x:v>Ava Singh</x:v>
      </x:c>
      <x:c r="C79" s="56" t="str">
        <x:v>AE II</x:v>
      </x:c>
      <x:c r="D79" s="56" t="str">
        <x:v>2026-06</x:v>
      </x:c>
      <x:c r="E79" s="72" t="n">
        <x:v>118800</x:v>
      </x:c>
      <x:c r="F79" s="72" t="n">
        <x:v>118830.41</x:v>
      </x:c>
      <x:c r="G79" s="72" t="n">
        <x:v>118830.41</x:v>
      </x:c>
      <x:c r="H79" s="72" t="n">
        <x:v>0</x:v>
      </x:c>
      <x:c r="I79" s="56" t="n">
        <x:v>0</x:v>
      </x:c>
      <x:c r="J79" s="56" t="n">
        <x:v>0</x:v>
      </x:c>
      <x:c r="K79" s="68" t="n">
        <x:f>IF(E79&lt;=0,"",G79/E79)</x:f>
        <x:v>1.0002559764309764</x:v>
      </x:c>
      <x:c r="L79" t="str">
        <x:f>IF(K79="","Not Calculated",IF(K79&lt;0.8,"Below 80%",IF(K79&lt;1,"80%-99.99%",IF(K79&lt;1.1,"100%-109.99%",IF(K79&lt;1.75,"110%-174.99%","175%+ Review")))))</x:f>
        <x:v>100%-109.99%</x:v>
      </x:c>
      <x:c r="M79" s="56" t="str">
        <x:v>Ready for Commission Calculation</x:v>
      </x:c>
      <x:c r="N79" s="74" t="n">
        <x:f>IF(E79&lt;=0,0,MIN(G79,E79*0.8)*0.01+MAX(0,MIN(G79,E79)-E79*0.8)*0.02)</x:f>
        <x:v>1425.6</x:v>
      </x:c>
      <x:c r="O79" s="74" t="n">
        <x:f>IF(E79&lt;=0,0,MAX(0,MIN(G79,E79*1.1)-E79)*0.035+MAX(0,G79-E79*1.1)*0.05)</x:f>
        <x:v>1.0643500000001223</x:v>
      </x:c>
      <x:c r="P79" s="74" t="n">
        <x:f>N79+O79</x:f>
        <x:v>1426.66435</x:v>
      </x:c>
      <x:c r="Q79" s="76" t="n">
        <x:f>IF(G79&lt;=0,0,P79/G79)</x:f>
        <x:v>0.012005885951247665</x:v>
      </x:c>
    </x:row>
    <x:row r="80">
      <x:c r="A80" s="56" t="str">
        <x:v>EMP007</x:v>
      </x:c>
      <x:c r="B80" s="56" t="str">
        <x:v>Ava Singh</x:v>
      </x:c>
      <x:c r="C80" s="56" t="str">
        <x:v>AE II</x:v>
      </x:c>
      <x:c r="D80" s="56" t="str">
        <x:v>2026-07</x:v>
      </x:c>
      <x:c r="E80" s="72" t="n">
        <x:v>92400.00000000001</x:v>
      </x:c>
      <x:c r="F80" s="72" t="n">
        <x:v>92315.54</x:v>
      </x:c>
      <x:c r="G80" s="72" t="n">
        <x:v>88234.84</x:v>
      </x:c>
      <x:c r="H80" s="72" t="n">
        <x:v>4080.7</x:v>
      </x:c>
      <x:c r="I80" s="56" t="n">
        <x:v>0</x:v>
      </x:c>
      <x:c r="J80" s="56" t="n">
        <x:v>0</x:v>
      </x:c>
      <x:c r="K80" s="68" t="n">
        <x:f>IF(E80&lt;=0,"",G80/E80)</x:f>
        <x:v>0.9549225108225107</x:v>
      </x:c>
      <x:c r="L80" t="str">
        <x:f>IF(K80="","Not Calculated",IF(K80&lt;0.8,"Below 80%",IF(K80&lt;1,"80%-99.99%",IF(K80&lt;1.1,"100%-109.99%",IF(K80&lt;1.75,"110%-174.99%","175%+ Review")))))</x:f>
        <x:v>80%-99.99%</x:v>
      </x:c>
      <x:c r="M80" s="56" t="str">
        <x:v>Ready for Commission Calculation</x:v>
      </x:c>
      <x:c r="N80" s="74" t="n">
        <x:f>IF(E80&lt;=0,0,MIN(G80,E80*0.8)*0.01+MAX(0,MIN(G80,E80)-E80*0.8)*0.02)</x:f>
        <x:v>1025.4968</x:v>
      </x:c>
      <x:c r="O80" s="74" t="n">
        <x:f>IF(E80&lt;=0,0,MAX(0,MIN(G80,E80*1.1)-E80)*0.035+MAX(0,G80-E80*1.1)*0.05)</x:f>
        <x:v>0</x:v>
      </x:c>
      <x:c r="P80" s="74" t="n">
        <x:f>N80+O80</x:f>
        <x:v>1025.4968</x:v>
      </x:c>
      <x:c r="Q80" s="76" t="n">
        <x:f>IF(G80&lt;=0,0,P80/G80)</x:f>
        <x:v>0.011622356883063425</x:v>
      </x:c>
    </x:row>
    <x:row r="81">
      <x:c r="A81" s="56" t="str">
        <x:v>EMP007</x:v>
      </x:c>
      <x:c r="B81" s="56" t="str">
        <x:v>Ava Singh</x:v>
      </x:c>
      <x:c r="C81" s="56" t="str">
        <x:v>AE II</x:v>
      </x:c>
      <x:c r="D81" s="56" t="str">
        <x:v>2026-08</x:v>
      </x:c>
      <x:c r="E81" s="72" t="n">
        <x:v>92400.00000000001</x:v>
      </x:c>
      <x:c r="F81" s="72" t="n">
        <x:v>97781.23</x:v>
      </x:c>
      <x:c r="G81" s="72" t="n">
        <x:v>97781.23</x:v>
      </x:c>
      <x:c r="H81" s="72" t="n">
        <x:v>0</x:v>
      </x:c>
      <x:c r="I81" s="56" t="n">
        <x:v>0</x:v>
      </x:c>
      <x:c r="J81" s="56" t="n">
        <x:v>0</x:v>
      </x:c>
      <x:c r="K81" s="68" t="n">
        <x:f>IF(E81&lt;=0,"",G81/E81)</x:f>
        <x:v>1.0582384199134196</x:v>
      </x:c>
      <x:c r="L81" t="str">
        <x:f>IF(K81="","Not Calculated",IF(K81&lt;0.8,"Below 80%",IF(K81&lt;1,"80%-99.99%",IF(K81&lt;1.1,"100%-109.99%",IF(K81&lt;1.75,"110%-174.99%","175%+ Review")))))</x:f>
        <x:v>100%-109.99%</x:v>
      </x:c>
      <x:c r="M81" s="56" t="str">
        <x:v>Ready for Commission Calculation</x:v>
      </x:c>
      <x:c r="N81" s="74" t="n">
        <x:f>IF(E81&lt;=0,0,MIN(G81,E81*0.8)*0.01+MAX(0,MIN(G81,E81)-E81*0.8)*0.02)</x:f>
        <x:v>1108.8000000000002</x:v>
      </x:c>
      <x:c r="O81" s="74" t="n">
        <x:f>IF(E81&lt;=0,0,MAX(0,MIN(G81,E81*1.1)-E81)*0.035+MAX(0,G81-E81*1.1)*0.05)</x:f>
        <x:v>188.34304999999938</x:v>
      </x:c>
      <x:c r="P81" s="74" t="n">
        <x:f>N81+O81</x:f>
        <x:v>1297.1430499999997</x:v>
      </x:c>
      <x:c r="Q81" s="76" t="n">
        <x:f>IF(G81&lt;=0,0,P81/G81)</x:f>
        <x:v>0.013265767366599906</x:v>
      </x:c>
    </x:row>
    <x:row r="82">
      <x:c r="A82" s="56" t="str">
        <x:v>EMP007</x:v>
      </x:c>
      <x:c r="B82" s="56" t="str">
        <x:v>Ava Singh</x:v>
      </x:c>
      <x:c r="C82" s="56" t="str">
        <x:v>AE II</x:v>
      </x:c>
      <x:c r="D82" s="56" t="str">
        <x:v>2026-09</x:v>
      </x:c>
      <x:c r="E82" s="72" t="n">
        <x:v>132000</x:v>
      </x:c>
      <x:c r="F82" s="72" t="n">
        <x:v>143190.2</x:v>
      </x:c>
      <x:c r="G82" s="72" t="n">
        <x:v>131834.49000000002</x:v>
      </x:c>
      <x:c r="H82" s="72" t="n">
        <x:v>11355.71</x:v>
      </x:c>
      <x:c r="I82" s="56" t="n">
        <x:v>0</x:v>
      </x:c>
      <x:c r="J82" s="56" t="n">
        <x:v>0</x:v>
      </x:c>
      <x:c r="K82" s="68" t="n">
        <x:f>IF(E82&lt;=0,"",G82/E82)</x:f>
        <x:v>0.9987461363636365</x:v>
      </x:c>
      <x:c r="L82" t="str">
        <x:f>IF(K82="","Not Calculated",IF(K82&lt;0.8,"Below 80%",IF(K82&lt;1,"80%-99.99%",IF(K82&lt;1.1,"100%-109.99%",IF(K82&lt;1.75,"110%-174.99%","175%+ Review")))))</x:f>
        <x:v>80%-99.99%</x:v>
      </x:c>
      <x:c r="M82" s="56" t="str">
        <x:v>Ready for Commission Calculation</x:v>
      </x:c>
      <x:c r="N82" s="74" t="n">
        <x:f>IF(E82&lt;=0,0,MIN(G82,E82*0.8)*0.01+MAX(0,MIN(G82,E82)-E82*0.8)*0.02)</x:f>
        <x:v>1580.6898000000006</x:v>
      </x:c>
      <x:c r="O82" s="74" t="n">
        <x:f>IF(E82&lt;=0,0,MAX(0,MIN(G82,E82*1.1)-E82)*0.035+MAX(0,G82-E82*1.1)*0.05)</x:f>
        <x:v>0</x:v>
      </x:c>
      <x:c r="P82" s="74" t="n">
        <x:f>N82+O82</x:f>
        <x:v>1580.6898000000006</x:v>
      </x:c>
      <x:c r="Q82" s="76" t="n">
        <x:f>IF(G82&lt;=0,0,P82/G82)</x:f>
        <x:v>0.01198995649772681</x:v>
      </x:c>
    </x:row>
    <x:row r="83">
      <x:c r="A83" s="56" t="str">
        <x:v>EMP007</x:v>
      </x:c>
      <x:c r="B83" s="56" t="str">
        <x:v>Ava Singh</x:v>
      </x:c>
      <x:c r="C83" s="56" t="str">
        <x:v>AE II</x:v>
      </x:c>
      <x:c r="D83" s="56" t="str">
        <x:v>2026-10</x:v>
      </x:c>
      <x:c r="E83" s="72" t="n">
        <x:v>132000</x:v>
      </x:c>
      <x:c r="F83" s="72" t="n">
        <x:v>134190.60000000003</x:v>
      </x:c>
      <x:c r="G83" s="72" t="n">
        <x:v>129680.58000000003</x:v>
      </x:c>
      <x:c r="H83" s="72" t="n">
        <x:v>4510.02</x:v>
      </x:c>
      <x:c r="I83" s="56" t="n">
        <x:v>0</x:v>
      </x:c>
      <x:c r="J83" s="56" t="n">
        <x:v>0</x:v>
      </x:c>
      <x:c r="K83" s="68" t="n">
        <x:f>IF(E83&lt;=0,"",G83/E83)</x:f>
        <x:v>0.9824286363636366</x:v>
      </x:c>
      <x:c r="L83" t="str">
        <x:f>IF(K83="","Not Calculated",IF(K83&lt;0.8,"Below 80%",IF(K83&lt;1,"80%-99.99%",IF(K83&lt;1.1,"100%-109.99%",IF(K83&lt;1.75,"110%-174.99%","175%+ Review")))))</x:f>
        <x:v>80%-99.99%</x:v>
      </x:c>
      <x:c r="M83" s="56" t="str">
        <x:v>Ready for Commission Calculation</x:v>
      </x:c>
      <x:c r="N83" s="74" t="n">
        <x:f>IF(E83&lt;=0,0,MIN(G83,E83*0.8)*0.01+MAX(0,MIN(G83,E83)-E83*0.8)*0.02)</x:f>
        <x:v>1537.6116000000006</x:v>
      </x:c>
      <x:c r="O83" s="74" t="n">
        <x:f>IF(E83&lt;=0,0,MAX(0,MIN(G83,E83*1.1)-E83)*0.035+MAX(0,G83-E83*1.1)*0.05)</x:f>
        <x:v>0</x:v>
      </x:c>
      <x:c r="P83" s="74" t="n">
        <x:f>N83+O83</x:f>
        <x:v>1537.6116000000006</x:v>
      </x:c>
      <x:c r="Q83" s="76" t="n">
        <x:f>IF(G83&lt;=0,0,P83/G83)</x:f>
        <x:v>0.011856914890417673</x:v>
      </x:c>
    </x:row>
    <x:row r="84">
      <x:c r="A84" s="56" t="str">
        <x:v>EMP007</x:v>
      </x:c>
      <x:c r="B84" s="56" t="str">
        <x:v>Ava Singh</x:v>
      </x:c>
      <x:c r="C84" s="56" t="str">
        <x:v>AE II</x:v>
      </x:c>
      <x:c r="D84" s="56" t="str">
        <x:v>2026-11</x:v>
      </x:c>
      <x:c r="E84" s="72" t="n">
        <x:v>118800</x:v>
      </x:c>
      <x:c r="F84" s="72" t="n">
        <x:v>132868.37000000002</x:v>
      </x:c>
      <x:c r="G84" s="72" t="n">
        <x:v>128842.07</x:v>
      </x:c>
      <x:c r="H84" s="72" t="n">
        <x:v>4026.3</x:v>
      </x:c>
      <x:c r="I84" s="56" t="n">
        <x:v>0</x:v>
      </x:c>
      <x:c r="J84" s="56" t="n">
        <x:v>0</x:v>
      </x:c>
      <x:c r="K84" s="68" t="n">
        <x:f>IF(E84&lt;=0,"",G84/E84)</x:f>
        <x:v>1.0845292087542089</x:v>
      </x:c>
      <x:c r="L84" t="str">
        <x:f>IF(K84="","Not Calculated",IF(K84&lt;0.8,"Below 80%",IF(K84&lt;1,"80%-99.99%",IF(K84&lt;1.1,"100%-109.99%",IF(K84&lt;1.75,"110%-174.99%","175%+ Review")))))</x:f>
        <x:v>100%-109.99%</x:v>
      </x:c>
      <x:c r="M84" s="56" t="str">
        <x:v>Ready for Commission Calculation</x:v>
      </x:c>
      <x:c r="N84" s="74" t="n">
        <x:f>IF(E84&lt;=0,0,MIN(G84,E84*0.8)*0.01+MAX(0,MIN(G84,E84)-E84*0.8)*0.02)</x:f>
        <x:v>1425.6</x:v>
      </x:c>
      <x:c r="O84" s="74" t="n">
        <x:f>IF(E84&lt;=0,0,MAX(0,MIN(G84,E84*1.1)-E84)*0.035+MAX(0,G84-E84*1.1)*0.05)</x:f>
        <x:v>351.47245000000026</x:v>
      </x:c>
      <x:c r="P84" s="74" t="n">
        <x:f>N84+O84</x:f>
        <x:v>1777.0724500000001</x:v>
      </x:c>
      <x:c r="Q84" s="76" t="n">
        <x:f>IF(G84&lt;=0,0,P84/G84)</x:f>
        <x:v>0.013792641254521912</x:v>
      </x:c>
    </x:row>
    <x:row r="85">
      <x:c r="A85" s="56" t="str">
        <x:v>EMP007</x:v>
      </x:c>
      <x:c r="B85" s="56" t="str">
        <x:v>Ava Singh</x:v>
      </x:c>
      <x:c r="C85" s="56" t="str">
        <x:v>AE II</x:v>
      </x:c>
      <x:c r="D85" s="56" t="str">
        <x:v>2026-12</x:v>
      </x:c>
      <x:c r="E85" s="72" t="n">
        <x:v>132000</x:v>
      </x:c>
      <x:c r="F85" s="72" t="n">
        <x:v>132159.46</x:v>
      </x:c>
      <x:c r="G85" s="72" t="n">
        <x:v>132159.46</x:v>
      </x:c>
      <x:c r="H85" s="72" t="n">
        <x:v>0</x:v>
      </x:c>
      <x:c r="I85" s="56" t="n">
        <x:v>0</x:v>
      </x:c>
      <x:c r="J85" s="56" t="n">
        <x:v>0</x:v>
      </x:c>
      <x:c r="K85" s="68" t="n">
        <x:f>IF(E85&lt;=0,"",G85/E85)</x:f>
        <x:v>1.0012080303030302</x:v>
      </x:c>
      <x:c r="L85" t="str">
        <x:f>IF(K85="","Not Calculated",IF(K85&lt;0.8,"Below 80%",IF(K85&lt;1,"80%-99.99%",IF(K85&lt;1.1,"100%-109.99%",IF(K85&lt;1.75,"110%-174.99%","175%+ Review")))))</x:f>
        <x:v>100%-109.99%</x:v>
      </x:c>
      <x:c r="M85" s="56" t="str">
        <x:v>Ready for Commission Calculation</x:v>
      </x:c>
      <x:c r="N85" s="74" t="n">
        <x:f>IF(E85&lt;=0,0,MIN(G85,E85*0.8)*0.01+MAX(0,MIN(G85,E85)-E85*0.8)*0.02)</x:f>
        <x:v>1584</x:v>
      </x:c>
      <x:c r="O85" s="74" t="n">
        <x:f>IF(E85&lt;=0,0,MAX(0,MIN(G85,E85*1.1)-E85)*0.035+MAX(0,G85-E85*1.1)*0.05)</x:f>
        <x:v>5.581099999999715</x:v>
      </x:c>
      <x:c r="P85" s="74" t="n">
        <x:f>N85+O85</x:f>
        <x:v>1589.5810999999997</x:v>
      </x:c>
      <x:c r="Q85" s="76" t="n">
        <x:f>IF(G85&lt;=0,0,P85/G85)</x:f>
        <x:v>0.012027751172712113</x:v>
      </x:c>
    </x:row>
    <x:row r="86">
      <x:c r="A86" s="56" t="str">
        <x:v>EMP008</x:v>
      </x:c>
      <x:c r="B86" s="56" t="str">
        <x:v>Lucas Ferreira</x:v>
      </x:c>
      <x:c r="C86" s="56" t="str">
        <x:v>AE II</x:v>
      </x:c>
      <x:c r="D86" s="56" t="str">
        <x:v>2026-01</x:v>
      </x:c>
      <x:c r="E86" s="72" t="n">
        <x:v>86800.00000000001</x:v>
      </x:c>
      <x:c r="F86" s="72" t="n">
        <x:v>91632.01</x:v>
      </x:c>
      <x:c r="G86" s="72" t="n">
        <x:v>91275.86</x:v>
      </x:c>
      <x:c r="H86" s="72" t="n">
        <x:v>356.15</x:v>
      </x:c>
      <x:c r="I86" s="56" t="n">
        <x:v>0</x:v>
      </x:c>
      <x:c r="J86" s="56" t="n">
        <x:v>0</x:v>
      </x:c>
      <x:c r="K86" s="68" t="n">
        <x:f>IF(E86&lt;=0,"",G86/E86)</x:f>
        <x:v>1.0515652073732717</x:v>
      </x:c>
      <x:c r="L86" t="str">
        <x:f>IF(K86="","Not Calculated",IF(K86&lt;0.8,"Below 80%",IF(K86&lt;1,"80%-99.99%",IF(K86&lt;1.1,"100%-109.99%",IF(K86&lt;1.75,"110%-174.99%","175%+ Review")))))</x:f>
        <x:v>100%-109.99%</x:v>
      </x:c>
      <x:c r="M86" s="56" t="str">
        <x:v>Ready for Commission Calculation</x:v>
      </x:c>
      <x:c r="N86" s="74" t="n">
        <x:f>IF(E86&lt;=0,0,MIN(G86,E86*0.8)*0.01+MAX(0,MIN(G86,E86)-E86*0.8)*0.02)</x:f>
        <x:v>1041.6000000000001</x:v>
      </x:c>
      <x:c r="O86" s="74" t="n">
        <x:f>IF(E86&lt;=0,0,MAX(0,MIN(G86,E86*1.1)-E86)*0.035+MAX(0,G86-E86*1.1)*0.05)</x:f>
        <x:v>156.65509999999952</x:v>
      </x:c>
      <x:c r="P86" s="74" t="n">
        <x:f>N86+O86</x:f>
        <x:v>1198.2550999999996</x:v>
      </x:c>
      <x:c r="Q86" s="76" t="n">
        <x:f>IF(G86&lt;=0,0,P86/G86)</x:f>
        <x:v>0.013127842345172093</x:v>
      </x:c>
    </x:row>
    <x:row r="87">
      <x:c r="A87" s="56" t="str">
        <x:v>EMP008</x:v>
      </x:c>
      <x:c r="B87" s="56" t="str">
        <x:v>Lucas Ferreira</x:v>
      </x:c>
      <x:c r="C87" s="56" t="str">
        <x:v>AE II</x:v>
      </x:c>
      <x:c r="D87" s="56" t="str">
        <x:v>2026-02</x:v>
      </x:c>
      <x:c r="E87" s="72" t="n">
        <x:v>86800.00000000001</x:v>
      </x:c>
      <x:c r="F87" s="72" t="n">
        <x:v>96011.16</x:v>
      </x:c>
      <x:c r="G87" s="72" t="n">
        <x:v>96011.16</x:v>
      </x:c>
      <x:c r="H87" s="72" t="n">
        <x:v>0</x:v>
      </x:c>
      <x:c r="I87" s="56" t="n">
        <x:v>0</x:v>
      </x:c>
      <x:c r="J87" s="56" t="n">
        <x:v>0</x:v>
      </x:c>
      <x:c r="K87" s="68" t="n">
        <x:f>IF(E87&lt;=0,"",G87/E87)</x:f>
        <x:v>1.1061193548387096</x:v>
      </x:c>
      <x:c r="L87" t="str">
        <x:f>IF(K87="","Not Calculated",IF(K87&lt;0.8,"Below 80%",IF(K87&lt;1,"80%-99.99%",IF(K87&lt;1.1,"100%-109.99%",IF(K87&lt;1.75,"110%-174.99%","175%+ Review")))))</x:f>
        <x:v>110%-174.99%</x:v>
      </x:c>
      <x:c r="M87" s="56" t="str">
        <x:v>Ready for Commission Calculation</x:v>
      </x:c>
      <x:c r="N87" s="74" t="n">
        <x:f>IF(E87&lt;=0,0,MIN(G87,E87*0.8)*0.01+MAX(0,MIN(G87,E87)-E87*0.8)*0.02)</x:f>
        <x:v>1041.6000000000001</x:v>
      </x:c>
      <x:c r="O87" s="74" t="n">
        <x:f>IF(E87&lt;=0,0,MAX(0,MIN(G87,E87*1.1)-E87)*0.035+MAX(0,G87-E87*1.1)*0.05)</x:f>
        <x:v>330.35799999999927</x:v>
      </x:c>
      <x:c r="P87" s="74" t="n">
        <x:f>N87+O87</x:f>
        <x:v>1371.9579999999994</x:v>
      </x:c>
      <x:c r="Q87" s="76" t="n">
        <x:f>IF(G87&lt;=0,0,P87/G87)</x:f>
        <x:v>0.01428956800438615</x:v>
      </x:c>
    </x:row>
    <x:row r="88">
      <x:c r="A88" s="56" t="str">
        <x:v>EMP008</x:v>
      </x:c>
      <x:c r="B88" s="56" t="str">
        <x:v>Lucas Ferreira</x:v>
      </x:c>
      <x:c r="C88" s="56" t="str">
        <x:v>AE II</x:v>
      </x:c>
      <x:c r="D88" s="56" t="str">
        <x:v>2026-03</x:v>
      </x:c>
      <x:c r="E88" s="72" t="n">
        <x:v>99200</x:v>
      </x:c>
      <x:c r="F88" s="72" t="n">
        <x:v>107099.72</x:v>
      </x:c>
      <x:c r="G88" s="72" t="n">
        <x:v>107099.72</x:v>
      </x:c>
      <x:c r="H88" s="72" t="n">
        <x:v>0</x:v>
      </x:c>
      <x:c r="I88" s="56" t="n">
        <x:v>0</x:v>
      </x:c>
      <x:c r="J88" s="56" t="n">
        <x:v>0</x:v>
      </x:c>
      <x:c r="K88" s="68" t="n">
        <x:f>IF(E88&lt;=0,"",G88/E88)</x:f>
        <x:v>1.0796342741935483</x:v>
      </x:c>
      <x:c r="L88" t="str">
        <x:f>IF(K88="","Not Calculated",IF(K88&lt;0.8,"Below 80%",IF(K88&lt;1,"80%-99.99%",IF(K88&lt;1.1,"100%-109.99%",IF(K88&lt;1.75,"110%-174.99%","175%+ Review")))))</x:f>
        <x:v>100%-109.99%</x:v>
      </x:c>
      <x:c r="M88" s="56" t="str">
        <x:v>Ready for Commission Calculation</x:v>
      </x:c>
      <x:c r="N88" s="74" t="n">
        <x:f>IF(E88&lt;=0,0,MIN(G88,E88*0.8)*0.01+MAX(0,MIN(G88,E88)-E88*0.8)*0.02)</x:f>
        <x:v>1190.4</x:v>
      </x:c>
      <x:c r="O88" s="74" t="n">
        <x:f>IF(E88&lt;=0,0,MAX(0,MIN(G88,E88*1.1)-E88)*0.035+MAX(0,G88-E88*1.1)*0.05)</x:f>
        <x:v>276.4902000000001</x:v>
      </x:c>
      <x:c r="P88" s="74" t="n">
        <x:f>N88+O88</x:f>
        <x:v>1466.8902000000003</x:v>
      </x:c>
      <x:c r="Q88" s="76" t="n">
        <x:f>IF(G88&lt;=0,0,P88/G88)</x:f>
        <x:v>0.013696489589328528</x:v>
      </x:c>
    </x:row>
    <x:row r="89">
      <x:c r="A89" s="56" t="str">
        <x:v>EMP008</x:v>
      </x:c>
      <x:c r="B89" s="56" t="str">
        <x:v>Lucas Ferreira</x:v>
      </x:c>
      <x:c r="C89" s="56" t="str">
        <x:v>AE II</x:v>
      </x:c>
      <x:c r="D89" s="56" t="str">
        <x:v>2026-04</x:v>
      </x:c>
      <x:c r="E89" s="72" t="n">
        <x:v>99200</x:v>
      </x:c>
      <x:c r="F89" s="72" t="n">
        <x:v>112904.94000000002</x:v>
      </x:c>
      <x:c r="G89" s="72" t="n">
        <x:v>111348.12000000001</x:v>
      </x:c>
      <x:c r="H89" s="72" t="n">
        <x:v>1556.82</x:v>
      </x:c>
      <x:c r="I89" s="56" t="n">
        <x:v>0</x:v>
      </x:c>
      <x:c r="J89" s="56" t="n">
        <x:v>0</x:v>
      </x:c>
      <x:c r="K89" s="68" t="n">
        <x:f>IF(E89&lt;=0,"",G89/E89)</x:f>
        <x:v>1.1224608870967743</x:v>
      </x:c>
      <x:c r="L89" t="str">
        <x:f>IF(K89="","Not Calculated",IF(K89&lt;0.8,"Below 80%",IF(K89&lt;1,"80%-99.99%",IF(K89&lt;1.1,"100%-109.99%",IF(K89&lt;1.75,"110%-174.99%","175%+ Review")))))</x:f>
        <x:v>110%-174.99%</x:v>
      </x:c>
      <x:c r="M89" s="56" t="str">
        <x:v>Ready for Commission Calculation</x:v>
      </x:c>
      <x:c r="N89" s="74" t="n">
        <x:f>IF(E89&lt;=0,0,MIN(G89,E89*0.8)*0.01+MAX(0,MIN(G89,E89)-E89*0.8)*0.02)</x:f>
        <x:v>1190.4</x:v>
      </x:c>
      <x:c r="O89" s="74" t="n">
        <x:f>IF(E89&lt;=0,0,MAX(0,MIN(G89,E89*1.1)-E89)*0.035+MAX(0,G89-E89*1.1)*0.05)</x:f>
        <x:v>458.60600000000034</x:v>
      </x:c>
      <x:c r="P89" s="74" t="n">
        <x:f>N89+O89</x:f>
        <x:v>1649.0060000000003</x:v>
      </x:c>
      <x:c r="Q89" s="76" t="n">
        <x:f>IF(G89&lt;=0,0,P89/G89)</x:f>
        <x:v>0.014809464228044444</x:v>
      </x:c>
    </x:row>
    <x:row r="90">
      <x:c r="A90" s="56" t="str">
        <x:v>EMP008</x:v>
      </x:c>
      <x:c r="B90" s="56" t="str">
        <x:v>Lucas Ferreira</x:v>
      </x:c>
      <x:c r="C90" s="56" t="str">
        <x:v>AE II</x:v>
      </x:c>
      <x:c r="D90" s="56" t="str">
        <x:v>2026-05</x:v>
      </x:c>
      <x:c r="E90" s="72" t="n">
        <x:v>99200</x:v>
      </x:c>
      <x:c r="F90" s="72" t="n">
        <x:v>117195.30999999998</x:v>
      </x:c>
      <x:c r="G90" s="72" t="n">
        <x:v>116893.76999999999</x:v>
      </x:c>
      <x:c r="H90" s="72" t="n">
        <x:v>301.54</x:v>
      </x:c>
      <x:c r="I90" s="56" t="n">
        <x:v>0</x:v>
      </x:c>
      <x:c r="J90" s="56" t="n">
        <x:v>0</x:v>
      </x:c>
      <x:c r="K90" s="68" t="n">
        <x:f>IF(E90&lt;=0,"",G90/E90)</x:f>
        <x:v>1.1783646169354838</x:v>
      </x:c>
      <x:c r="L90" t="str">
        <x:f>IF(K90="","Not Calculated",IF(K90&lt;0.8,"Below 80%",IF(K90&lt;1,"80%-99.99%",IF(K90&lt;1.1,"100%-109.99%",IF(K90&lt;1.75,"110%-174.99%","175%+ Review")))))</x:f>
        <x:v>110%-174.99%</x:v>
      </x:c>
      <x:c r="M90" s="56" t="str">
        <x:v>Ready for Commission Calculation</x:v>
      </x:c>
      <x:c r="N90" s="74" t="n">
        <x:f>IF(E90&lt;=0,0,MIN(G90,E90*0.8)*0.01+MAX(0,MIN(G90,E90)-E90*0.8)*0.02)</x:f>
        <x:v>1190.4</x:v>
      </x:c>
      <x:c r="O90" s="74" t="n">
        <x:f>IF(E90&lt;=0,0,MAX(0,MIN(G90,E90*1.1)-E90)*0.035+MAX(0,G90-E90*1.1)*0.05)</x:f>
        <x:v>735.8884999999993</x:v>
      </x:c>
      <x:c r="P90" s="74" t="n">
        <x:f>N90+O90</x:f>
        <x:v>1926.2884999999994</x:v>
      </x:c>
      <x:c r="Q90" s="76" t="n">
        <x:f>IF(G90&lt;=0,0,P90/G90)</x:f>
        <x:v>0.016478966329856584</x:v>
      </x:c>
    </x:row>
    <x:row r="91">
      <x:c r="A91" s="56" t="str">
        <x:v>EMP008</x:v>
      </x:c>
      <x:c r="B91" s="56" t="str">
        <x:v>Lucas Ferreira</x:v>
      </x:c>
      <x:c r="C91" s="56" t="str">
        <x:v>AE II</x:v>
      </x:c>
      <x:c r="D91" s="56" t="str">
        <x:v>2026-06</x:v>
      </x:c>
      <x:c r="E91" s="72" t="n">
        <x:v>111600</x:v>
      </x:c>
      <x:c r="F91" s="72" t="n">
        <x:v>144228.07</x:v>
      </x:c>
      <x:c r="G91" s="72" t="n">
        <x:v>143927.72</x:v>
      </x:c>
      <x:c r="H91" s="72" t="n">
        <x:v>300.35</x:v>
      </x:c>
      <x:c r="I91" s="56" t="n">
        <x:v>0</x:v>
      </x:c>
      <x:c r="J91" s="56" t="n">
        <x:v>0</x:v>
      </x:c>
      <x:c r="K91" s="68" t="n">
        <x:f>IF(E91&lt;=0,"",G91/E91)</x:f>
        <x:v>1.2896749103942653</x:v>
      </x:c>
      <x:c r="L91" t="str">
        <x:f>IF(K91="","Not Calculated",IF(K91&lt;0.8,"Below 80%",IF(K91&lt;1,"80%-99.99%",IF(K91&lt;1.1,"100%-109.99%",IF(K91&lt;1.75,"110%-174.99%","175%+ Review")))))</x:f>
        <x:v>110%-174.99%</x:v>
      </x:c>
      <x:c r="M91" s="56" t="str">
        <x:v>Ready for Commission Calculation</x:v>
      </x:c>
      <x:c r="N91" s="74" t="n">
        <x:f>IF(E91&lt;=0,0,MIN(G91,E91*0.8)*0.01+MAX(0,MIN(G91,E91)-E91*0.8)*0.02)</x:f>
        <x:v>1339.2</x:v>
      </x:c>
      <x:c r="O91" s="74" t="n">
        <x:f>IF(E91&lt;=0,0,MAX(0,MIN(G91,E91*1.1)-E91)*0.035+MAX(0,G91-E91*1.1)*0.05)</x:f>
        <x:v>1448.9859999999999</x:v>
      </x:c>
      <x:c r="P91" s="74" t="n">
        <x:f>N91+O91</x:f>
        <x:v>2788.1859999999997</x:v>
      </x:c>
      <x:c r="Q91" s="76" t="n">
        <x:f>IF(G91&lt;=0,0,P91/G91)</x:f>
        <x:v>0.01937212650905607</x:v>
      </x:c>
    </x:row>
    <x:row r="92">
      <x:c r="A92" s="56" t="str">
        <x:v>EMP008</x:v>
      </x:c>
      <x:c r="B92" s="56" t="str">
        <x:v>Lucas Ferreira</x:v>
      </x:c>
      <x:c r="C92" s="56" t="str">
        <x:v>AE II</x:v>
      </x:c>
      <x:c r="D92" s="56" t="str">
        <x:v>2026-07</x:v>
      </x:c>
      <x:c r="E92" s="72" t="n">
        <x:v>86800.00000000001</x:v>
      </x:c>
      <x:c r="F92" s="72" t="n">
        <x:v>121388.67000000001</x:v>
      </x:c>
      <x:c r="G92" s="72" t="n">
        <x:v>121388.67000000001</x:v>
      </x:c>
      <x:c r="H92" s="72" t="n">
        <x:v>0</x:v>
      </x:c>
      <x:c r="I92" s="56" t="n">
        <x:v>0</x:v>
      </x:c>
      <x:c r="J92" s="56" t="n">
        <x:v>0</x:v>
      </x:c>
      <x:c r="K92" s="68" t="n">
        <x:f>IF(E92&lt;=0,"",G92/E92)</x:f>
        <x:v>1.3984869815668202</x:v>
      </x:c>
      <x:c r="L92" t="str">
        <x:f>IF(K92="","Not Calculated",IF(K92&lt;0.8,"Below 80%",IF(K92&lt;1,"80%-99.99%",IF(K92&lt;1.1,"100%-109.99%",IF(K92&lt;1.75,"110%-174.99%","175%+ Review")))))</x:f>
        <x:v>110%-174.99%</x:v>
      </x:c>
      <x:c r="M92" s="56" t="str">
        <x:v>Ready for Commission Calculation</x:v>
      </x:c>
      <x:c r="N92" s="74" t="n">
        <x:f>IF(E92&lt;=0,0,MIN(G92,E92*0.8)*0.01+MAX(0,MIN(G92,E92)-E92*0.8)*0.02)</x:f>
        <x:v>1041.6000000000001</x:v>
      </x:c>
      <x:c r="O92" s="74" t="n">
        <x:f>IF(E92&lt;=0,0,MAX(0,MIN(G92,E92*1.1)-E92)*0.035+MAX(0,G92-E92*1.1)*0.05)</x:f>
        <x:v>1599.2334999999998</x:v>
      </x:c>
      <x:c r="P92" s="74" t="n">
        <x:f>N92+O92</x:f>
        <x:v>2640.8334999999997</x:v>
      </x:c>
      <x:c r="Q92" s="76" t="n">
        <x:f>IF(G92&lt;=0,0,P92/G92)</x:f>
        <x:v>0.021755189343453548</x:v>
      </x:c>
    </x:row>
    <x:row r="93">
      <x:c r="A93" s="56" t="str">
        <x:v>EMP008</x:v>
      </x:c>
      <x:c r="B93" s="56" t="str">
        <x:v>Lucas Ferreira</x:v>
      </x:c>
      <x:c r="C93" s="56" t="str">
        <x:v>AE II</x:v>
      </x:c>
      <x:c r="D93" s="56" t="str">
        <x:v>2026-08</x:v>
      </x:c>
      <x:c r="E93" s="72" t="n">
        <x:v>86800.00000000001</x:v>
      </x:c>
      <x:c r="F93" s="72" t="n">
        <x:v>107122.59</x:v>
      </x:c>
      <x:c r="G93" s="72" t="n">
        <x:v>99145.99</x:v>
      </x:c>
      <x:c r="H93" s="72" t="n">
        <x:v>7976.6</x:v>
      </x:c>
      <x:c r="I93" s="56" t="n">
        <x:v>0</x:v>
      </x:c>
      <x:c r="J93" s="56" t="n">
        <x:v>0</x:v>
      </x:c>
      <x:c r="K93" s="68" t="n">
        <x:f>IF(E93&lt;=0,"",G93/E93)</x:f>
        <x:v>1.1422349078341012</x:v>
      </x:c>
      <x:c r="L93" t="str">
        <x:f>IF(K93="","Not Calculated",IF(K93&lt;0.8,"Below 80%",IF(K93&lt;1,"80%-99.99%",IF(K93&lt;1.1,"100%-109.99%",IF(K93&lt;1.75,"110%-174.99%","175%+ Review")))))</x:f>
        <x:v>110%-174.99%</x:v>
      </x:c>
      <x:c r="M93" s="56" t="str">
        <x:v>Ready for Commission Calculation</x:v>
      </x:c>
      <x:c r="N93" s="74" t="n">
        <x:f>IF(E93&lt;=0,0,MIN(G93,E93*0.8)*0.01+MAX(0,MIN(G93,E93)-E93*0.8)*0.02)</x:f>
        <x:v>1041.6000000000001</x:v>
      </x:c>
      <x:c r="O93" s="74" t="n">
        <x:f>IF(E93&lt;=0,0,MAX(0,MIN(G93,E93*1.1)-E93)*0.035+MAX(0,G93-E93*1.1)*0.05)</x:f>
        <x:v>487.09949999999935</x:v>
      </x:c>
      <x:c r="P93" s="74" t="n">
        <x:f>N93+O93</x:f>
        <x:v>1528.6994999999995</x:v>
      </x:c>
      <x:c r="Q93" s="76" t="n">
        <x:f>IF(G93&lt;=0,0,P93/G93)</x:f>
        <x:v>0.01541867200075363</x:v>
      </x:c>
    </x:row>
    <x:row r="94">
      <x:c r="A94" s="56" t="str">
        <x:v>EMP008</x:v>
      </x:c>
      <x:c r="B94" s="56" t="str">
        <x:v>Lucas Ferreira</x:v>
      </x:c>
      <x:c r="C94" s="56" t="str">
        <x:v>AE II</x:v>
      </x:c>
      <x:c r="D94" s="56" t="str">
        <x:v>2026-09</x:v>
      </x:c>
      <x:c r="E94" s="72" t="n">
        <x:v>124000</x:v>
      </x:c>
      <x:c r="F94" s="72" t="n">
        <x:v>151636.41999999998</x:v>
      </x:c>
      <x:c r="G94" s="72" t="n">
        <x:v>151067.56999999998</x:v>
      </x:c>
      <x:c r="H94" s="72" t="n">
        <x:v>568.85</x:v>
      </x:c>
      <x:c r="I94" s="56" t="n">
        <x:v>0</x:v>
      </x:c>
      <x:c r="J94" s="56" t="n">
        <x:v>0</x:v>
      </x:c>
      <x:c r="K94" s="68" t="n">
        <x:f>IF(E94&lt;=0,"",G94/E94)</x:f>
        <x:v>1.2182868548387096</x:v>
      </x:c>
      <x:c r="L94" t="str">
        <x:f>IF(K94="","Not Calculated",IF(K94&lt;0.8,"Below 80%",IF(K94&lt;1,"80%-99.99%",IF(K94&lt;1.1,"100%-109.99%",IF(K94&lt;1.75,"110%-174.99%","175%+ Review")))))</x:f>
        <x:v>110%-174.99%</x:v>
      </x:c>
      <x:c r="M94" s="56" t="str">
        <x:v>Ready for Commission Calculation</x:v>
      </x:c>
      <x:c r="N94" s="74" t="n">
        <x:f>IF(E94&lt;=0,0,MIN(G94,E94*0.8)*0.01+MAX(0,MIN(G94,E94)-E94*0.8)*0.02)</x:f>
        <x:v>1488</x:v>
      </x:c>
      <x:c r="O94" s="74" t="n">
        <x:f>IF(E94&lt;=0,0,MAX(0,MIN(G94,E94*1.1)-E94)*0.035+MAX(0,G94-E94*1.1)*0.05)</x:f>
        <x:v>1167.378499999999</x:v>
      </x:c>
      <x:c r="P94" s="74" t="n">
        <x:f>N94+O94</x:f>
        <x:v>2655.378499999999</x:v>
      </x:c>
      <x:c r="Q94" s="76" t="n">
        <x:f>IF(G94&lt;=0,0,P94/G94)</x:f>
        <x:v>0.01757742247393004</x:v>
      </x:c>
    </x:row>
    <x:row r="95">
      <x:c r="A95" s="56" t="str">
        <x:v>EMP008</x:v>
      </x:c>
      <x:c r="B95" s="56" t="str">
        <x:v>Lucas Ferreira</x:v>
      </x:c>
      <x:c r="C95" s="56" t="str">
        <x:v>AE II</x:v>
      </x:c>
      <x:c r="D95" s="56" t="str">
        <x:v>2026-10</x:v>
      </x:c>
      <x:c r="E95" s="72" t="n">
        <x:v>124000</x:v>
      </x:c>
      <x:c r="F95" s="72" t="n">
        <x:v>163008.82</x:v>
      </x:c>
      <x:c r="G95" s="72" t="n">
        <x:v>153493.84999999998</x:v>
      </x:c>
      <x:c r="H95" s="72" t="n">
        <x:v>9514.97</x:v>
      </x:c>
      <x:c r="I95" s="56" t="n">
        <x:v>0</x:v>
      </x:c>
      <x:c r="J95" s="56" t="n">
        <x:v>0</x:v>
      </x:c>
      <x:c r="K95" s="68" t="n">
        <x:f>IF(E95&lt;=0,"",G95/E95)</x:f>
        <x:v>1.237853629032258</x:v>
      </x:c>
      <x:c r="L95" t="str">
        <x:f>IF(K95="","Not Calculated",IF(K95&lt;0.8,"Below 80%",IF(K95&lt;1,"80%-99.99%",IF(K95&lt;1.1,"100%-109.99%",IF(K95&lt;1.75,"110%-174.99%","175%+ Review")))))</x:f>
        <x:v>110%-174.99%</x:v>
      </x:c>
      <x:c r="M95" s="56" t="str">
        <x:v>Ready for Commission Calculation</x:v>
      </x:c>
      <x:c r="N95" s="74" t="n">
        <x:f>IF(E95&lt;=0,0,MIN(G95,E95*0.8)*0.01+MAX(0,MIN(G95,E95)-E95*0.8)*0.02)</x:f>
        <x:v>1488</x:v>
      </x:c>
      <x:c r="O95" s="74" t="n">
        <x:f>IF(E95&lt;=0,0,MAX(0,MIN(G95,E95*1.1)-E95)*0.035+MAX(0,G95-E95*1.1)*0.05)</x:f>
        <x:v>1288.692499999999</x:v>
      </x:c>
      <x:c r="P95" s="74" t="n">
        <x:f>N95+O95</x:f>
        <x:v>2776.692499999999</x:v>
      </x:c>
      <x:c r="Q95" s="76" t="n">
        <x:f>IF(G95&lt;=0,0,P95/G95)</x:f>
        <x:v>0.018089926729963447</x:v>
      </x:c>
    </x:row>
    <x:row r="96">
      <x:c r="A96" s="56" t="str">
        <x:v>EMP008</x:v>
      </x:c>
      <x:c r="B96" s="56" t="str">
        <x:v>Lucas Ferreira</x:v>
      </x:c>
      <x:c r="C96" s="56" t="str">
        <x:v>AE II</x:v>
      </x:c>
      <x:c r="D96" s="56" t="str">
        <x:v>2026-11</x:v>
      </x:c>
      <x:c r="E96" s="72" t="n">
        <x:v>111600</x:v>
      </x:c>
      <x:c r="F96" s="72" t="n">
        <x:v>145144.03</x:v>
      </x:c>
      <x:c r="G96" s="72" t="n">
        <x:v>139911.14</x:v>
      </x:c>
      <x:c r="H96" s="72" t="n">
        <x:v>5232.89</x:v>
      </x:c>
      <x:c r="I96" s="56" t="n">
        <x:v>0</x:v>
      </x:c>
      <x:c r="J96" s="56" t="n">
        <x:v>0</x:v>
      </x:c>
      <x:c r="K96" s="68" t="n">
        <x:f>IF(E96&lt;=0,"",G96/E96)</x:f>
        <x:v>1.2536840501792117</x:v>
      </x:c>
      <x:c r="L96" t="str">
        <x:f>IF(K96="","Not Calculated",IF(K96&lt;0.8,"Below 80%",IF(K96&lt;1,"80%-99.99%",IF(K96&lt;1.1,"100%-109.99%",IF(K96&lt;1.75,"110%-174.99%","175%+ Review")))))</x:f>
        <x:v>110%-174.99%</x:v>
      </x:c>
      <x:c r="M96" s="56" t="str">
        <x:v>Ready for Commission Calculation</x:v>
      </x:c>
      <x:c r="N96" s="74" t="n">
        <x:f>IF(E96&lt;=0,0,MIN(G96,E96*0.8)*0.01+MAX(0,MIN(G96,E96)-E96*0.8)*0.02)</x:f>
        <x:v>1339.2</x:v>
      </x:c>
      <x:c r="O96" s="74" t="n">
        <x:f>IF(E96&lt;=0,0,MAX(0,MIN(G96,E96*1.1)-E96)*0.035+MAX(0,G96-E96*1.1)*0.05)</x:f>
        <x:v>1248.1570000000006</x:v>
      </x:c>
      <x:c r="P96" s="74" t="n">
        <x:f>N96+O96</x:f>
        <x:v>2587.357000000001</x:v>
      </x:c>
      <x:c r="Q96" s="76" t="n">
        <x:f>IF(G96&lt;=0,0,P96/G96)</x:f>
        <x:v>0.018492859110432525</x:v>
      </x:c>
    </x:row>
    <x:row r="97">
      <x:c r="A97" s="56" t="str">
        <x:v>EMP008</x:v>
      </x:c>
      <x:c r="B97" s="56" t="str">
        <x:v>Lucas Ferreira</x:v>
      </x:c>
      <x:c r="C97" s="56" t="str">
        <x:v>AE II</x:v>
      </x:c>
      <x:c r="D97" s="56" t="str">
        <x:v>2026-12</x:v>
      </x:c>
      <x:c r="E97" s="72" t="n">
        <x:v>124000</x:v>
      </x:c>
      <x:c r="F97" s="72" t="n">
        <x:v>156099.06</x:v>
      </x:c>
      <x:c r="G97" s="72" t="n">
        <x:v>155301.65</x:v>
      </x:c>
      <x:c r="H97" s="72" t="n">
        <x:v>797.41</x:v>
      </x:c>
      <x:c r="I97" s="56" t="n">
        <x:v>0</x:v>
      </x:c>
      <x:c r="J97" s="56" t="n">
        <x:v>0</x:v>
      </x:c>
      <x:c r="K97" s="68" t="n">
        <x:f>IF(E97&lt;=0,"",G97/E97)</x:f>
        <x:v>1.2524326612903225</x:v>
      </x:c>
      <x:c r="L97" t="str">
        <x:f>IF(K97="","Not Calculated",IF(K97&lt;0.8,"Below 80%",IF(K97&lt;1,"80%-99.99%",IF(K97&lt;1.1,"100%-109.99%",IF(K97&lt;1.75,"110%-174.99%","175%+ Review")))))</x:f>
        <x:v>110%-174.99%</x:v>
      </x:c>
      <x:c r="M97" s="56" t="str">
        <x:v>Ready for Commission Calculation</x:v>
      </x:c>
      <x:c r="N97" s="74" t="n">
        <x:f>IF(E97&lt;=0,0,MIN(G97,E97*0.8)*0.01+MAX(0,MIN(G97,E97)-E97*0.8)*0.02)</x:f>
        <x:v>1488</x:v>
      </x:c>
      <x:c r="O97" s="74" t="n">
        <x:f>IF(E97&lt;=0,0,MAX(0,MIN(G97,E97*1.1)-E97)*0.035+MAX(0,G97-E97*1.1)*0.05)</x:f>
        <x:v>1379.0824999999998</x:v>
      </x:c>
      <x:c r="P97" s="74" t="n">
        <x:f>N97+O97</x:f>
        <x:v>2867.0824999999995</x:v>
      </x:c>
      <x:c r="Q97" s="76" t="n">
        <x:f>IF(G97&lt;=0,0,P97/G97)</x:f>
        <x:v>0.018461378227468926</x:v>
      </x:c>
    </x:row>
    <x:row r="98">
      <x:c r="A98" s="56" t="str">
        <x:v>EMP009</x:v>
      </x:c>
      <x:c r="B98" s="56" t="str">
        <x:v>Emma Brooks</x:v>
      </x:c>
      <x:c r="C98" s="56" t="str">
        <x:v>AE II</x:v>
      </x:c>
      <x:c r="D98" s="56" t="str">
        <x:v>2026-01</x:v>
      </x:c>
      <x:c r="E98" s="72" t="n">
        <x:v>86100.00000000001</x:v>
      </x:c>
      <x:c r="F98" s="72" t="n">
        <x:v>112060.89999999997</x:v>
      </x:c>
      <x:c r="G98" s="72" t="n">
        <x:v>111483.61999999997</x:v>
      </x:c>
      <x:c r="H98" s="72" t="n">
        <x:v>577.28</x:v>
      </x:c>
      <x:c r="I98" s="56" t="n">
        <x:v>0</x:v>
      </x:c>
      <x:c r="J98" s="56" t="n">
        <x:v>0</x:v>
      </x:c>
      <x:c r="K98" s="68" t="n">
        <x:f>IF(E98&lt;=0,"",G98/E98)</x:f>
        <x:v>1.2948155632984895</x:v>
      </x:c>
      <x:c r="L98" t="str">
        <x:f>IF(K98="","Not Calculated",IF(K98&lt;0.8,"Below 80%",IF(K98&lt;1,"80%-99.99%",IF(K98&lt;1.1,"100%-109.99%",IF(K98&lt;1.75,"110%-174.99%","175%+ Review")))))</x:f>
        <x:v>110%-174.99%</x:v>
      </x:c>
      <x:c r="M98" s="56" t="str">
        <x:v>Ready for Commission Calculation</x:v>
      </x:c>
      <x:c r="N98" s="74" t="n">
        <x:f>IF(E98&lt;=0,0,MIN(G98,E98*0.8)*0.01+MAX(0,MIN(G98,E98)-E98*0.8)*0.02)</x:f>
        <x:v>1033.2000000000003</x:v>
      </x:c>
      <x:c r="O98" s="74" t="n">
        <x:f>IF(E98&lt;=0,0,MAX(0,MIN(G98,E98*1.1)-E98)*0.035+MAX(0,G98-E98*1.1)*0.05)</x:f>
        <x:v>1140.0309999999974</x:v>
      </x:c>
      <x:c r="P98" s="74" t="n">
        <x:f>N98+O98</x:f>
        <x:v>2173.230999999998</x:v>
      </x:c>
      <x:c r="Q98" s="76" t="n">
        <x:f>IF(G98&lt;=0,0,P98/G98)</x:f>
        <x:v>0.019493724728350214</x:v>
      </x:c>
    </x:row>
    <x:row r="99">
      <x:c r="A99" s="56" t="str">
        <x:v>EMP009</x:v>
      </x:c>
      <x:c r="B99" s="56" t="str">
        <x:v>Emma Brooks</x:v>
      </x:c>
      <x:c r="C99" s="56" t="str">
        <x:v>AE II</x:v>
      </x:c>
      <x:c r="D99" s="56" t="str">
        <x:v>2026-02</x:v>
      </x:c>
      <x:c r="E99" s="72" t="n">
        <x:v>86100.00000000001</x:v>
      </x:c>
      <x:c r="F99" s="72" t="n">
        <x:v>140221.56</x:v>
      </x:c>
      <x:c r="G99" s="72" t="n">
        <x:v>128077.34000000001</x:v>
      </x:c>
      <x:c r="H99" s="72" t="n">
        <x:v>12144.220000000001</x:v>
      </x:c>
      <x:c r="I99" s="56" t="n">
        <x:v>0</x:v>
      </x:c>
      <x:c r="J99" s="56" t="n">
        <x:v>0</x:v>
      </x:c>
      <x:c r="K99" s="68" t="n">
        <x:f>IF(E99&lt;=0,"",G99/E99)</x:f>
        <x:v>1.4875416957026713</x:v>
      </x:c>
      <x:c r="L99" t="str">
        <x:f>IF(K99="","Not Calculated",IF(K99&lt;0.8,"Below 80%",IF(K99&lt;1,"80%-99.99%",IF(K99&lt;1.1,"100%-109.99%",IF(K99&lt;1.75,"110%-174.99%","175%+ Review")))))</x:f>
        <x:v>110%-174.99%</x:v>
      </x:c>
      <x:c r="M99" s="56" t="str">
        <x:v>Ready for Commission Calculation</x:v>
      </x:c>
      <x:c r="N99" s="74" t="n">
        <x:f>IF(E99&lt;=0,0,MIN(G99,E99*0.8)*0.01+MAX(0,MIN(G99,E99)-E99*0.8)*0.02)</x:f>
        <x:v>1033.2000000000003</x:v>
      </x:c>
      <x:c r="O99" s="74" t="n">
        <x:f>IF(E99&lt;=0,0,MAX(0,MIN(G99,E99*1.1)-E99)*0.035+MAX(0,G99-E99*1.1)*0.05)</x:f>
        <x:v>1969.7169999999999</x:v>
      </x:c>
      <x:c r="P99" s="74" t="n">
        <x:f>N99+O99</x:f>
        <x:v>3002.9170000000004</x:v>
      </x:c>
      <x:c r="Q99" s="76" t="n">
        <x:f>IF(G99&lt;=0,0,P99/G99)</x:f>
        <x:v>0.023446122475685394</x:v>
      </x:c>
    </x:row>
    <x:row r="100">
      <x:c r="A100" s="56" t="str">
        <x:v>EMP009</x:v>
      </x:c>
      <x:c r="B100" s="56" t="str">
        <x:v>Emma Brooks</x:v>
      </x:c>
      <x:c r="C100" s="56" t="str">
        <x:v>AE II</x:v>
      </x:c>
      <x:c r="D100" s="56" t="str">
        <x:v>2026-03</x:v>
      </x:c>
      <x:c r="E100" s="72" t="n">
        <x:v>98400</x:v>
      </x:c>
      <x:c r="F100" s="72" t="n">
        <x:v>138662.24</x:v>
      </x:c>
      <x:c r="G100" s="72" t="n">
        <x:v>138521.75</x:v>
      </x:c>
      <x:c r="H100" s="72" t="n">
        <x:v>140.49</x:v>
      </x:c>
      <x:c r="I100" s="56" t="n">
        <x:v>0</x:v>
      </x:c>
      <x:c r="J100" s="56" t="n">
        <x:v>0</x:v>
      </x:c>
      <x:c r="K100" s="68" t="n">
        <x:f>IF(E100&lt;=0,"",G100/E100)</x:f>
        <x:v>1.4077413617886179</x:v>
      </x:c>
      <x:c r="L100" t="str">
        <x:f>IF(K100="","Not Calculated",IF(K100&lt;0.8,"Below 80%",IF(K100&lt;1,"80%-99.99%",IF(K100&lt;1.1,"100%-109.99%",IF(K100&lt;1.75,"110%-174.99%","175%+ Review")))))</x:f>
        <x:v>110%-174.99%</x:v>
      </x:c>
      <x:c r="M100" s="56" t="str">
        <x:v>Ready for Commission Calculation</x:v>
      </x:c>
      <x:c r="N100" s="74" t="n">
        <x:f>IF(E100&lt;=0,0,MIN(G100,E100*0.8)*0.01+MAX(0,MIN(G100,E100)-E100*0.8)*0.02)</x:f>
        <x:v>1180.8000000000002</x:v>
      </x:c>
      <x:c r="O100" s="74" t="n">
        <x:f>IF(E100&lt;=0,0,MAX(0,MIN(G100,E100*1.1)-E100)*0.035+MAX(0,G100-E100*1.1)*0.05)</x:f>
        <x:v>1858.4875</x:v>
      </x:c>
      <x:c r="P100" s="74" t="n">
        <x:f>N100+O100</x:f>
        <x:v>3039.2875000000004</x:v>
      </x:c>
      <x:c r="Q100" s="76" t="n">
        <x:f>IF(G100&lt;=0,0,P100/G100)</x:f>
        <x:v>0.02194086849177115</x:v>
      </x:c>
    </x:row>
    <x:row r="101">
      <x:c r="A101" s="56" t="str">
        <x:v>EMP009</x:v>
      </x:c>
      <x:c r="B101" s="56" t="str">
        <x:v>Emma Brooks</x:v>
      </x:c>
      <x:c r="C101" s="56" t="str">
        <x:v>AE II</x:v>
      </x:c>
      <x:c r="D101" s="56" t="str">
        <x:v>2026-04</x:v>
      </x:c>
      <x:c r="E101" s="72" t="n">
        <x:v>98400</x:v>
      </x:c>
      <x:c r="F101" s="72" t="n">
        <x:v>133171.4</x:v>
      </x:c>
      <x:c r="G101" s="72" t="n">
        <x:v>133171.4</x:v>
      </x:c>
      <x:c r="H101" s="72" t="n">
        <x:v>0</x:v>
      </x:c>
      <x:c r="I101" s="56" t="n">
        <x:v>0</x:v>
      </x:c>
      <x:c r="J101" s="56" t="n">
        <x:v>0</x:v>
      </x:c>
      <x:c r="K101" s="68" t="n">
        <x:f>IF(E101&lt;=0,"",G101/E101)</x:f>
        <x:v>1.3533678861788618</x:v>
      </x:c>
      <x:c r="L101" t="str">
        <x:f>IF(K101="","Not Calculated",IF(K101&lt;0.8,"Below 80%",IF(K101&lt;1,"80%-99.99%",IF(K101&lt;1.1,"100%-109.99%",IF(K101&lt;1.75,"110%-174.99%","175%+ Review")))))</x:f>
        <x:v>110%-174.99%</x:v>
      </x:c>
      <x:c r="M101" s="56" t="str">
        <x:v>Ready for Commission Calculation</x:v>
      </x:c>
      <x:c r="N101" s="74" t="n">
        <x:f>IF(E101&lt;=0,0,MIN(G101,E101*0.8)*0.01+MAX(0,MIN(G101,E101)-E101*0.8)*0.02)</x:f>
        <x:v>1180.8000000000002</x:v>
      </x:c>
      <x:c r="O101" s="74" t="n">
        <x:f>IF(E101&lt;=0,0,MAX(0,MIN(G101,E101*1.1)-E101)*0.035+MAX(0,G101-E101*1.1)*0.05)</x:f>
        <x:v>1590.9699999999996</x:v>
      </x:c>
      <x:c r="P101" s="74" t="n">
        <x:f>N101+O101</x:f>
        <x:v>2771.7699999999995</x:v>
      </x:c>
      <x:c r="Q101" s="76" t="n">
        <x:f>IF(G101&lt;=0,0,P101/G101)</x:f>
        <x:v>0.0208135530601916</x:v>
      </x:c>
    </x:row>
    <x:row r="102">
      <x:c r="A102" s="56" t="str">
        <x:v>EMP009</x:v>
      </x:c>
      <x:c r="B102" s="56" t="str">
        <x:v>Emma Brooks</x:v>
      </x:c>
      <x:c r="C102" s="56" t="str">
        <x:v>AE II</x:v>
      </x:c>
      <x:c r="D102" s="56" t="str">
        <x:v>2026-05</x:v>
      </x:c>
      <x:c r="E102" s="72" t="n">
        <x:v>98400</x:v>
      </x:c>
      <x:c r="F102" s="72" t="n">
        <x:v>122388.84000000001</x:v>
      </x:c>
      <x:c r="G102" s="72" t="n">
        <x:v>121831.00000000001</x:v>
      </x:c>
      <x:c r="H102" s="72" t="n">
        <x:v>557.84</x:v>
      </x:c>
      <x:c r="I102" s="56" t="n">
        <x:v>0</x:v>
      </x:c>
      <x:c r="J102" s="56" t="n">
        <x:v>0</x:v>
      </x:c>
      <x:c r="K102" s="68" t="n">
        <x:f>IF(E102&lt;=0,"",G102/E102)</x:f>
        <x:v>1.2381199186991871</x:v>
      </x:c>
      <x:c r="L102" t="str">
        <x:f>IF(K102="","Not Calculated",IF(K102&lt;0.8,"Below 80%",IF(K102&lt;1,"80%-99.99%",IF(K102&lt;1.1,"100%-109.99%",IF(K102&lt;1.75,"110%-174.99%","175%+ Review")))))</x:f>
        <x:v>110%-174.99%</x:v>
      </x:c>
      <x:c r="M102" s="56" t="str">
        <x:v>Ready for Commission Calculation</x:v>
      </x:c>
      <x:c r="N102" s="74" t="n">
        <x:f>IF(E102&lt;=0,0,MIN(G102,E102*0.8)*0.01+MAX(0,MIN(G102,E102)-E102*0.8)*0.02)</x:f>
        <x:v>1180.8000000000002</x:v>
      </x:c>
      <x:c r="O102" s="74" t="n">
        <x:f>IF(E102&lt;=0,0,MAX(0,MIN(G102,E102*1.1)-E102)*0.035+MAX(0,G102-E102*1.1)*0.05)</x:f>
        <x:v>1023.9500000000006</x:v>
      </x:c>
      <x:c r="P102" s="74" t="n">
        <x:f>N102+O102</x:f>
        <x:v>2204.750000000001</x:v>
      </x:c>
      <x:c r="Q102" s="76" t="n">
        <x:f>IF(G102&lt;=0,0,P102/G102)</x:f>
        <x:v>0.018096789815400027</x:v>
      </x:c>
    </x:row>
    <x:row r="103">
      <x:c r="A103" s="56" t="str">
        <x:v>EMP009</x:v>
      </x:c>
      <x:c r="B103" s="56" t="str">
        <x:v>Emma Brooks</x:v>
      </x:c>
      <x:c r="C103" s="56" t="str">
        <x:v>AE II</x:v>
      </x:c>
      <x:c r="D103" s="56" t="str">
        <x:v>2026-06</x:v>
      </x:c>
      <x:c r="E103" s="72" t="n">
        <x:v>110700</x:v>
      </x:c>
      <x:c r="F103" s="72" t="n">
        <x:v>155832.58000000002</x:v>
      </x:c>
      <x:c r="G103" s="72" t="n">
        <x:v>154548.07</x:v>
      </x:c>
      <x:c r="H103" s="72" t="n">
        <x:v>1284.51</x:v>
      </x:c>
      <x:c r="I103" s="56" t="n">
        <x:v>0</x:v>
      </x:c>
      <x:c r="J103" s="56" t="n">
        <x:v>0</x:v>
      </x:c>
      <x:c r="K103" s="68" t="n">
        <x:f>IF(E103&lt;=0,"",G103/E103)</x:f>
        <x:v>1.3960981933152665</x:v>
      </x:c>
      <x:c r="L103" t="str">
        <x:f>IF(K103="","Not Calculated",IF(K103&lt;0.8,"Below 80%",IF(K103&lt;1,"80%-99.99%",IF(K103&lt;1.1,"100%-109.99%",IF(K103&lt;1.75,"110%-174.99%","175%+ Review")))))</x:f>
        <x:v>110%-174.99%</x:v>
      </x:c>
      <x:c r="M103" s="56" t="str">
        <x:v>Ready for Commission Calculation</x:v>
      </x:c>
      <x:c r="N103" s="74" t="n">
        <x:f>IF(E103&lt;=0,0,MIN(G103,E103*0.8)*0.01+MAX(0,MIN(G103,E103)-E103*0.8)*0.02)</x:f>
        <x:v>1328.4</x:v>
      </x:c>
      <x:c r="O103" s="74" t="n">
        <x:f>IF(E103&lt;=0,0,MAX(0,MIN(G103,E103*1.1)-E103)*0.035+MAX(0,G103-E103*1.1)*0.05)</x:f>
        <x:v>2026.3535000000002</x:v>
      </x:c>
      <x:c r="P103" s="74" t="n">
        <x:f>N103+O103</x:f>
        <x:v>3354.7535000000003</x:v>
      </x:c>
      <x:c r="Q103" s="76" t="n">
        <x:f>IF(G103&lt;=0,0,P103/G103)</x:f>
        <x:v>0.021706861172708272</x:v>
      </x:c>
    </x:row>
    <x:row r="104">
      <x:c r="A104" s="56" t="str">
        <x:v>EMP009</x:v>
      </x:c>
      <x:c r="B104" s="56" t="str">
        <x:v>Emma Brooks</x:v>
      </x:c>
      <x:c r="C104" s="56" t="str">
        <x:v>AE II</x:v>
      </x:c>
      <x:c r="D104" s="56" t="str">
        <x:v>2026-07</x:v>
      </x:c>
      <x:c r="E104" s="72" t="n">
        <x:v>86100.00000000001</x:v>
      </x:c>
      <x:c r="F104" s="72" t="n">
        <x:v>111483.96999999999</x:v>
      </x:c>
      <x:c r="G104" s="72" t="n">
        <x:v>111483.96999999999</x:v>
      </x:c>
      <x:c r="H104" s="72" t="n">
        <x:v>0</x:v>
      </x:c>
      <x:c r="I104" s="56" t="n">
        <x:v>0</x:v>
      </x:c>
      <x:c r="J104" s="56" t="n">
        <x:v>0</x:v>
      </x:c>
      <x:c r="K104" s="68" t="n">
        <x:f>IF(E104&lt;=0,"",G104/E104)</x:f>
        <x:v>1.2948196283391402</x:v>
      </x:c>
      <x:c r="L104" t="str">
        <x:f>IF(K104="","Not Calculated",IF(K104&lt;0.8,"Below 80%",IF(K104&lt;1,"80%-99.99%",IF(K104&lt;1.1,"100%-109.99%",IF(K104&lt;1.75,"110%-174.99%","175%+ Review")))))</x:f>
        <x:v>110%-174.99%</x:v>
      </x:c>
      <x:c r="M104" s="56" t="str">
        <x:v>Ready for Commission Calculation</x:v>
      </x:c>
      <x:c r="N104" s="74" t="n">
        <x:f>IF(E104&lt;=0,0,MIN(G104,E104*0.8)*0.01+MAX(0,MIN(G104,E104)-E104*0.8)*0.02)</x:f>
        <x:v>1033.2000000000003</x:v>
      </x:c>
      <x:c r="O104" s="74" t="n">
        <x:f>IF(E104&lt;=0,0,MAX(0,MIN(G104,E104*1.1)-E104)*0.035+MAX(0,G104-E104*1.1)*0.05)</x:f>
        <x:v>1140.0484999999985</x:v>
      </x:c>
      <x:c r="P104" s="74" t="n">
        <x:f>N104+O104</x:f>
        <x:v>2173.248499999999</x:v>
      </x:c>
      <x:c r="Q104" s="76" t="n">
        <x:f>IF(G104&lt;=0,0,P104/G104)</x:f>
        <x:v>0.019493820501727727</x:v>
      </x:c>
    </x:row>
    <x:row r="105">
      <x:c r="A105" s="56" t="str">
        <x:v>EMP009</x:v>
      </x:c>
      <x:c r="B105" s="56" t="str">
        <x:v>Emma Brooks</x:v>
      </x:c>
      <x:c r="C105" s="56" t="str">
        <x:v>AE II</x:v>
      </x:c>
      <x:c r="D105" s="56" t="str">
        <x:v>2026-08</x:v>
      </x:c>
      <x:c r="E105" s="72" t="n">
        <x:v>86100.00000000001</x:v>
      </x:c>
      <x:c r="F105" s="72" t="n">
        <x:v>114815.35</x:v>
      </x:c>
      <x:c r="G105" s="72" t="n">
        <x:v>114682.08000000002</x:v>
      </x:c>
      <x:c r="H105" s="72" t="n">
        <x:v>133.27</x:v>
      </x:c>
      <x:c r="I105" s="56" t="n">
        <x:v>0</x:v>
      </x:c>
      <x:c r="J105" s="56" t="n">
        <x:v>0</x:v>
      </x:c>
      <x:c r="K105" s="68" t="n">
        <x:f>IF(E105&lt;=0,"",G105/E105)</x:f>
        <x:v>1.331963763066202</x:v>
      </x:c>
      <x:c r="L105" t="str">
        <x:f>IF(K105="","Not Calculated",IF(K105&lt;0.8,"Below 80%",IF(K105&lt;1,"80%-99.99%",IF(K105&lt;1.1,"100%-109.99%",IF(K105&lt;1.75,"110%-174.99%","175%+ Review")))))</x:f>
        <x:v>110%-174.99%</x:v>
      </x:c>
      <x:c r="M105" s="56" t="str">
        <x:v>Ready for Commission Calculation</x:v>
      </x:c>
      <x:c r="N105" s="74" t="n">
        <x:f>IF(E105&lt;=0,0,MIN(G105,E105*0.8)*0.01+MAX(0,MIN(G105,E105)-E105*0.8)*0.02)</x:f>
        <x:v>1033.2000000000003</x:v>
      </x:c>
      <x:c r="O105" s="74" t="n">
        <x:f>IF(E105&lt;=0,0,MAX(0,MIN(G105,E105*1.1)-E105)*0.035+MAX(0,G105-E105*1.1)*0.05)</x:f>
        <x:v>1299.954</x:v>
      </x:c>
      <x:c r="P105" s="74" t="n">
        <x:f>N105+O105</x:f>
        <x:v>2333.1540000000005</x:v>
      </x:c>
      <x:c r="Q105" s="76" t="n">
        <x:f>IF(G105&lt;=0,0,P105/G105)</x:f>
        <x:v>0.020344538571326926</x:v>
      </x:c>
    </x:row>
    <x:row r="106">
      <x:c r="A106" s="56" t="str">
        <x:v>EMP009</x:v>
      </x:c>
      <x:c r="B106" s="56" t="str">
        <x:v>Emma Brooks</x:v>
      </x:c>
      <x:c r="C106" s="56" t="str">
        <x:v>AE II</x:v>
      </x:c>
      <x:c r="D106" s="56" t="str">
        <x:v>2026-09</x:v>
      </x:c>
      <x:c r="E106" s="72" t="n">
        <x:v>123000</x:v>
      </x:c>
      <x:c r="F106" s="72" t="n">
        <x:v>172551.88999999998</x:v>
      </x:c>
      <x:c r="G106" s="72" t="n">
        <x:v>172113.4</x:v>
      </x:c>
      <x:c r="H106" s="72" t="n">
        <x:v>438.49</x:v>
      </x:c>
      <x:c r="I106" s="56" t="n">
        <x:v>0</x:v>
      </x:c>
      <x:c r="J106" s="56" t="n">
        <x:v>0</x:v>
      </x:c>
      <x:c r="K106" s="68" t="n">
        <x:f>IF(E106&lt;=0,"",G106/E106)</x:f>
        <x:v>1.3992959349593495</x:v>
      </x:c>
      <x:c r="L106" t="str">
        <x:f>IF(K106="","Not Calculated",IF(K106&lt;0.8,"Below 80%",IF(K106&lt;1,"80%-99.99%",IF(K106&lt;1.1,"100%-109.99%",IF(K106&lt;1.75,"110%-174.99%","175%+ Review")))))</x:f>
        <x:v>110%-174.99%</x:v>
      </x:c>
      <x:c r="M106" s="56" t="str">
        <x:v>Ready for Commission Calculation</x:v>
      </x:c>
      <x:c r="N106" s="74" t="n">
        <x:f>IF(E106&lt;=0,0,MIN(G106,E106*0.8)*0.01+MAX(0,MIN(G106,E106)-E106*0.8)*0.02)</x:f>
        <x:v>1476</x:v>
      </x:c>
      <x:c r="O106" s="74" t="n">
        <x:f>IF(E106&lt;=0,0,MAX(0,MIN(G106,E106*1.1)-E106)*0.035+MAX(0,G106-E106*1.1)*0.05)</x:f>
        <x:v>2271.17</x:v>
      </x:c>
      <x:c r="P106" s="74" t="n">
        <x:f>N106+O106</x:f>
        <x:v>3747.17</x:v>
      </x:c>
      <x:c r="Q106" s="76" t="n">
        <x:f>IF(G106&lt;=0,0,P106/G106)</x:f>
        <x:v>0.021771518080521333</x:v>
      </x:c>
    </x:row>
    <x:row r="107">
      <x:c r="A107" s="56" t="str">
        <x:v>EMP009</x:v>
      </x:c>
      <x:c r="B107" s="56" t="str">
        <x:v>Emma Brooks</x:v>
      </x:c>
      <x:c r="C107" s="56" t="str">
        <x:v>AE II</x:v>
      </x:c>
      <x:c r="D107" s="56" t="str">
        <x:v>2026-10</x:v>
      </x:c>
      <x:c r="E107" s="72" t="n">
        <x:v>123000</x:v>
      </x:c>
      <x:c r="F107" s="72" t="n">
        <x:v>202475.38999999996</x:v>
      </x:c>
      <x:c r="G107" s="72" t="n">
        <x:v>202251.95999999996</x:v>
      </x:c>
      <x:c r="H107" s="72" t="n">
        <x:v>223.43</x:v>
      </x:c>
      <x:c r="I107" s="56" t="n">
        <x:v>0</x:v>
      </x:c>
      <x:c r="J107" s="56" t="n">
        <x:v>0</x:v>
      </x:c>
      <x:c r="K107" s="68" t="n">
        <x:f>IF(E107&lt;=0,"",G107/E107)</x:f>
        <x:v>1.6443248780487802</x:v>
      </x:c>
      <x:c r="L107" t="str">
        <x:f>IF(K107="","Not Calculated",IF(K107&lt;0.8,"Below 80%",IF(K107&lt;1,"80%-99.99%",IF(K107&lt;1.1,"100%-109.99%",IF(K107&lt;1.75,"110%-174.99%","175%+ Review")))))</x:f>
        <x:v>110%-174.99%</x:v>
      </x:c>
      <x:c r="M107" s="56" t="str">
        <x:v>Ready for Commission Calculation</x:v>
      </x:c>
      <x:c r="N107" s="74" t="n">
        <x:f>IF(E107&lt;=0,0,MIN(G107,E107*0.8)*0.01+MAX(0,MIN(G107,E107)-E107*0.8)*0.02)</x:f>
        <x:v>1476</x:v>
      </x:c>
      <x:c r="O107" s="74" t="n">
        <x:f>IF(E107&lt;=0,0,MAX(0,MIN(G107,E107*1.1)-E107)*0.035+MAX(0,G107-E107*1.1)*0.05)</x:f>
        <x:v>3778.097999999998</x:v>
      </x:c>
      <x:c r="P107" s="74" t="n">
        <x:f>N107+O107</x:f>
        <x:v>5254.097999999998</x:v>
      </x:c>
      <x:c r="Q107" s="76" t="n">
        <x:f>IF(G107&lt;=0,0,P107/G107)</x:f>
        <x:v>0.025977983105825025</x:v>
      </x:c>
    </x:row>
    <x:row r="108">
      <x:c r="A108" s="56" t="str">
        <x:v>EMP009</x:v>
      </x:c>
      <x:c r="B108" s="56" t="str">
        <x:v>Emma Brooks</x:v>
      </x:c>
      <x:c r="C108" s="56" t="str">
        <x:v>AE II</x:v>
      </x:c>
      <x:c r="D108" s="56" t="str">
        <x:v>2026-11</x:v>
      </x:c>
      <x:c r="E108" s="72" t="n">
        <x:v>110700</x:v>
      </x:c>
      <x:c r="F108" s="72" t="n">
        <x:v>135385.39</x:v>
      </x:c>
      <x:c r="G108" s="72" t="n">
        <x:v>132794.1</x:v>
      </x:c>
      <x:c r="H108" s="72" t="n">
        <x:v>2591.29</x:v>
      </x:c>
      <x:c r="I108" s="56" t="n">
        <x:v>0</x:v>
      </x:c>
      <x:c r="J108" s="56" t="n">
        <x:v>0</x:v>
      </x:c>
      <x:c r="K108" s="68" t="n">
        <x:f>IF(E108&lt;=0,"",G108/E108)</x:f>
        <x:v>1.1995853658536586</x:v>
      </x:c>
      <x:c r="L108" t="str">
        <x:f>IF(K108="","Not Calculated",IF(K108&lt;0.8,"Below 80%",IF(K108&lt;1,"80%-99.99%",IF(K108&lt;1.1,"100%-109.99%",IF(K108&lt;1.75,"110%-174.99%","175%+ Review")))))</x:f>
        <x:v>110%-174.99%</x:v>
      </x:c>
      <x:c r="M108" s="56" t="str">
        <x:v>Ready for Commission Calculation</x:v>
      </x:c>
      <x:c r="N108" s="74" t="n">
        <x:f>IF(E108&lt;=0,0,MIN(G108,E108*0.8)*0.01+MAX(0,MIN(G108,E108)-E108*0.8)*0.02)</x:f>
        <x:v>1328.4</x:v>
      </x:c>
      <x:c r="O108" s="74" t="n">
        <x:f>IF(E108&lt;=0,0,MAX(0,MIN(G108,E108*1.1)-E108)*0.035+MAX(0,G108-E108*1.1)*0.05)</x:f>
        <x:v>938.6550000000002</x:v>
      </x:c>
      <x:c r="P108" s="74" t="n">
        <x:f>N108+O108</x:f>
        <x:v>2267.0550000000003</x:v>
      </x:c>
      <x:c r="Q108" s="76" t="n">
        <x:f>IF(G108&lt;=0,0,P108/G108)</x:f>
        <x:v>0.017071955757070535</x:v>
      </x:c>
    </x:row>
    <x:row r="109">
      <x:c r="A109" s="56" t="str">
        <x:v>EMP009</x:v>
      </x:c>
      <x:c r="B109" s="56" t="str">
        <x:v>Emma Brooks</x:v>
      </x:c>
      <x:c r="C109" s="56" t="str">
        <x:v>AE II</x:v>
      </x:c>
      <x:c r="D109" s="56" t="str">
        <x:v>2026-12</x:v>
      </x:c>
      <x:c r="E109" s="72" t="n">
        <x:v>123000</x:v>
      </x:c>
      <x:c r="F109" s="72" t="n">
        <x:v>171506.32</x:v>
      </x:c>
      <x:c r="G109" s="72" t="n">
        <x:v>170235.78</x:v>
      </x:c>
      <x:c r="H109" s="72" t="n">
        <x:v>1270.54</x:v>
      </x:c>
      <x:c r="I109" s="56" t="n">
        <x:v>0</x:v>
      </x:c>
      <x:c r="J109" s="56" t="n">
        <x:v>0</x:v>
      </x:c>
      <x:c r="K109" s="68" t="n">
        <x:f>IF(E109&lt;=0,"",G109/E109)</x:f>
        <x:v>1.384030731707317</x:v>
      </x:c>
      <x:c r="L109" t="str">
        <x:f>IF(K109="","Not Calculated",IF(K109&lt;0.8,"Below 80%",IF(K109&lt;1,"80%-99.99%",IF(K109&lt;1.1,"100%-109.99%",IF(K109&lt;1.75,"110%-174.99%","175%+ Review")))))</x:f>
        <x:v>110%-174.99%</x:v>
      </x:c>
      <x:c r="M109" s="56" t="str">
        <x:v>Ready for Commission Calculation</x:v>
      </x:c>
      <x:c r="N109" s="74" t="n">
        <x:f>IF(E109&lt;=0,0,MIN(G109,E109*0.8)*0.01+MAX(0,MIN(G109,E109)-E109*0.8)*0.02)</x:f>
        <x:v>1476</x:v>
      </x:c>
      <x:c r="O109" s="74" t="n">
        <x:f>IF(E109&lt;=0,0,MAX(0,MIN(G109,E109*1.1)-E109)*0.035+MAX(0,G109-E109*1.1)*0.05)</x:f>
        <x:v>2177.289</x:v>
      </x:c>
      <x:c r="P109" s="74" t="n">
        <x:f>N109+O109</x:f>
        <x:v>3653.289</x:v>
      </x:c>
      <x:c r="Q109" s="76" t="n">
        <x:f>IF(G109&lt;=0,0,P109/G109)</x:f>
        <x:v>0.021460171298889108</x:v>
      </x:c>
    </x:row>
    <x:row r="110">
      <x:c r="A110" s="56" t="str">
        <x:v>EMP010</x:v>
      </x:c>
      <x:c r="B110" s="56" t="str">
        <x:v>Ryan Kim</x:v>
      </x:c>
      <x:c r="C110" s="56" t="str">
        <x:v>Senior AE</x:v>
      </x:c>
      <x:c r="D110" s="56" t="str">
        <x:v>2026-01</x:v>
      </x:c>
      <x:c r="E110" s="72" t="n">
        <x:v>130200.00000000001</x:v>
      </x:c>
      <x:c r="F110" s="72" t="n">
        <x:v>122676.93000000001</x:v>
      </x:c>
      <x:c r="G110" s="72" t="n">
        <x:v>122308.84000000001</x:v>
      </x:c>
      <x:c r="H110" s="72" t="n">
        <x:v>368.09</x:v>
      </x:c>
      <x:c r="I110" s="56" t="n">
        <x:v>0</x:v>
      </x:c>
      <x:c r="J110" s="56" t="n">
        <x:v>0</x:v>
      </x:c>
      <x:c r="K110" s="68" t="n">
        <x:f>IF(E110&lt;=0,"",G110/E110)</x:f>
        <x:v>0.9393920122887864</x:v>
      </x:c>
      <x:c r="L110" t="str">
        <x:f>IF(K110="","Not Calculated",IF(K110&lt;0.8,"Below 80%",IF(K110&lt;1,"80%-99.99%",IF(K110&lt;1.1,"100%-109.99%",IF(K110&lt;1.75,"110%-174.99%","175%+ Review")))))</x:f>
        <x:v>80%-99.99%</x:v>
      </x:c>
      <x:c r="M110" s="56" t="str">
        <x:v>Ready for Commission Calculation</x:v>
      </x:c>
      <x:c r="N110" s="74" t="n">
        <x:f>IF(E110&lt;=0,0,MIN(G110,E110*0.8)*0.01+MAX(0,MIN(G110,E110)-E110*0.8)*0.02)</x:f>
        <x:v>1404.5768</x:v>
      </x:c>
      <x:c r="O110" s="74" t="n">
        <x:f>IF(E110&lt;=0,0,MAX(0,MIN(G110,E110*1.1)-E110)*0.035+MAX(0,G110-E110*1.1)*0.05)</x:f>
        <x:v>0</x:v>
      </x:c>
      <x:c r="P110" s="74" t="n">
        <x:f>N110+O110</x:f>
        <x:v>1404.5768</x:v>
      </x:c>
      <x:c r="Q110" s="76" t="n">
        <x:f>IF(G110&lt;=0,0,P110/G110)</x:f>
        <x:v>0.011483853497425043</x:v>
      </x:c>
    </x:row>
    <x:row r="111">
      <x:c r="A111" s="56" t="str">
        <x:v>EMP010</x:v>
      </x:c>
      <x:c r="B111" s="56" t="str">
        <x:v>Ryan Kim</x:v>
      </x:c>
      <x:c r="C111" s="56" t="str">
        <x:v>Senior AE</x:v>
      </x:c>
      <x:c r="D111" s="56" t="str">
        <x:v>2026-02</x:v>
      </x:c>
      <x:c r="E111" s="72" t="n">
        <x:v>130200.00000000001</x:v>
      </x:c>
      <x:c r="F111" s="72" t="n">
        <x:v>116131.56</x:v>
      </x:c>
      <x:c r="G111" s="72" t="n">
        <x:v>114473.01</x:v>
      </x:c>
      <x:c r="H111" s="72" t="n">
        <x:v>1658.55</x:v>
      </x:c>
      <x:c r="I111" s="56" t="n">
        <x:v>0</x:v>
      </x:c>
      <x:c r="J111" s="56" t="n">
        <x:v>0</x:v>
      </x:c>
      <x:c r="K111" s="68" t="n">
        <x:f>IF(E111&lt;=0,"",G111/E111)</x:f>
        <x:v>0.8792089861751151</x:v>
      </x:c>
      <x:c r="L111" t="str">
        <x:f>IF(K111="","Not Calculated",IF(K111&lt;0.8,"Below 80%",IF(K111&lt;1,"80%-99.99%",IF(K111&lt;1.1,"100%-109.99%",IF(K111&lt;1.75,"110%-174.99%","175%+ Review")))))</x:f>
        <x:v>80%-99.99%</x:v>
      </x:c>
      <x:c r="M111" s="56" t="str">
        <x:v>Ready for Commission Calculation</x:v>
      </x:c>
      <x:c r="N111" s="74" t="n">
        <x:f>IF(E111&lt;=0,0,MIN(G111,E111*0.8)*0.01+MAX(0,MIN(G111,E111)-E111*0.8)*0.02)</x:f>
        <x:v>1247.8601999999996</x:v>
      </x:c>
      <x:c r="O111" s="74" t="n">
        <x:f>IF(E111&lt;=0,0,MAX(0,MIN(G111,E111*1.1)-E111)*0.035+MAX(0,G111-E111*1.1)*0.05)</x:f>
        <x:v>0</x:v>
      </x:c>
      <x:c r="P111" s="74" t="n">
        <x:f>N111+O111</x:f>
        <x:v>1247.8601999999996</x:v>
      </x:c>
      <x:c r="Q111" s="76" t="n">
        <x:f>IF(G111&lt;=0,0,P111/G111)</x:f>
        <x:v>0.010900911926750242</x:v>
      </x:c>
    </x:row>
    <x:row r="112">
      <x:c r="A112" s="56" t="str">
        <x:v>EMP010</x:v>
      </x:c>
      <x:c r="B112" s="56" t="str">
        <x:v>Ryan Kim</x:v>
      </x:c>
      <x:c r="C112" s="56" t="str">
        <x:v>Senior AE</x:v>
      </x:c>
      <x:c r="D112" s="56" t="str">
        <x:v>2026-03</x:v>
      </x:c>
      <x:c r="E112" s="72" t="n">
        <x:v>148800</x:v>
      </x:c>
      <x:c r="F112" s="72" t="n">
        <x:v>134226.68</x:v>
      </x:c>
      <x:c r="G112" s="72" t="n">
        <x:v>132049.57</x:v>
      </x:c>
      <x:c r="H112" s="72" t="n">
        <x:v>2177.1099999999997</x:v>
      </x:c>
      <x:c r="I112" s="56" t="n">
        <x:v>0</x:v>
      </x:c>
      <x:c r="J112" s="56" t="n">
        <x:v>0</x:v>
      </x:c>
      <x:c r="K112" s="68" t="n">
        <x:f>IF(E112&lt;=0,"",G112/E112)</x:f>
        <x:v>0.8874299059139785</x:v>
      </x:c>
      <x:c r="L112" t="str">
        <x:f>IF(K112="","Not Calculated",IF(K112&lt;0.8,"Below 80%",IF(K112&lt;1,"80%-99.99%",IF(K112&lt;1.1,"100%-109.99%",IF(K112&lt;1.75,"110%-174.99%","175%+ Review")))))</x:f>
        <x:v>80%-99.99%</x:v>
      </x:c>
      <x:c r="M112" s="56" t="str">
        <x:v>Ready for Commission Calculation</x:v>
      </x:c>
      <x:c r="N112" s="74" t="n">
        <x:f>IF(E112&lt;=0,0,MIN(G112,E112*0.8)*0.01+MAX(0,MIN(G112,E112)-E112*0.8)*0.02)</x:f>
        <x:v>1450.5914000000002</x:v>
      </x:c>
      <x:c r="O112" s="74" t="n">
        <x:f>IF(E112&lt;=0,0,MAX(0,MIN(G112,E112*1.1)-E112)*0.035+MAX(0,G112-E112*1.1)*0.05)</x:f>
        <x:v>0</x:v>
      </x:c>
      <x:c r="P112" s="74" t="n">
        <x:f>N112+O112</x:f>
        <x:v>1450.5914000000002</x:v>
      </x:c>
      <x:c r="Q112" s="76" t="n">
        <x:f>IF(G112&lt;=0,0,P112/G112)</x:f>
        <x:v>0.010985203511075426</x:v>
      </x:c>
    </x:row>
    <x:row r="113">
      <x:c r="A113" s="56" t="str">
        <x:v>EMP010</x:v>
      </x:c>
      <x:c r="B113" s="56" t="str">
        <x:v>Ryan Kim</x:v>
      </x:c>
      <x:c r="C113" s="56" t="str">
        <x:v>Senior AE</x:v>
      </x:c>
      <x:c r="D113" s="56" t="str">
        <x:v>2026-04</x:v>
      </x:c>
      <x:c r="E113" s="72" t="n">
        <x:v>148800</x:v>
      </x:c>
      <x:c r="F113" s="72" t="n">
        <x:v>138798.72999999998</x:v>
      </x:c>
      <x:c r="G113" s="72" t="n">
        <x:v>138556.31</x:v>
      </x:c>
      <x:c r="H113" s="72" t="n">
        <x:v>242.42</x:v>
      </x:c>
      <x:c r="I113" s="56" t="n">
        <x:v>0</x:v>
      </x:c>
      <x:c r="J113" s="56" t="n">
        <x:v>0</x:v>
      </x:c>
      <x:c r="K113" s="68" t="n">
        <x:f>IF(E113&lt;=0,"",G113/E113)</x:f>
        <x:v>0.9311579973118279</x:v>
      </x:c>
      <x:c r="L113" t="str">
        <x:f>IF(K113="","Not Calculated",IF(K113&lt;0.8,"Below 80%",IF(K113&lt;1,"80%-99.99%",IF(K113&lt;1.1,"100%-109.99%",IF(K113&lt;1.75,"110%-174.99%","175%+ Review")))))</x:f>
        <x:v>80%-99.99%</x:v>
      </x:c>
      <x:c r="M113" s="56" t="str">
        <x:v>Ready for Commission Calculation</x:v>
      </x:c>
      <x:c r="N113" s="74" t="n">
        <x:f>IF(E113&lt;=0,0,MIN(G113,E113*0.8)*0.01+MAX(0,MIN(G113,E113)-E113*0.8)*0.02)</x:f>
        <x:v>1580.7262</x:v>
      </x:c>
      <x:c r="O113" s="74" t="n">
        <x:f>IF(E113&lt;=0,0,MAX(0,MIN(G113,E113*1.1)-E113)*0.035+MAX(0,G113-E113*1.1)*0.05)</x:f>
        <x:v>0</x:v>
      </x:c>
      <x:c r="P113" s="74" t="n">
        <x:f>N113+O113</x:f>
        <x:v>1580.7262</x:v>
      </x:c>
      <x:c r="Q113" s="76" t="n">
        <x:f>IF(G113&lt;=0,0,P113/G113)</x:f>
        <x:v>0.011408547182008528</x:v>
      </x:c>
    </x:row>
    <x:row r="114">
      <x:c r="A114" s="56" t="str">
        <x:v>EMP010</x:v>
      </x:c>
      <x:c r="B114" s="56" t="str">
        <x:v>Ryan Kim</x:v>
      </x:c>
      <x:c r="C114" s="56" t="str">
        <x:v>Senior AE</x:v>
      </x:c>
      <x:c r="D114" s="56" t="str">
        <x:v>2026-05</x:v>
      </x:c>
      <x:c r="E114" s="72" t="n">
        <x:v>148800</x:v>
      </x:c>
      <x:c r="F114" s="72" t="n">
        <x:v>146818.6</x:v>
      </x:c>
      <x:c r="G114" s="72" t="n">
        <x:v>146818.6</x:v>
      </x:c>
      <x:c r="H114" s="72" t="n">
        <x:v>0</x:v>
      </x:c>
      <x:c r="I114" s="56" t="n">
        <x:v>0</x:v>
      </x:c>
      <x:c r="J114" s="56" t="n">
        <x:v>0</x:v>
      </x:c>
      <x:c r="K114" s="68" t="n">
        <x:f>IF(E114&lt;=0,"",G114/E114)</x:f>
        <x:v>0.9866841397849463</x:v>
      </x:c>
      <x:c r="L114" t="str">
        <x:f>IF(K114="","Not Calculated",IF(K114&lt;0.8,"Below 80%",IF(K114&lt;1,"80%-99.99%",IF(K114&lt;1.1,"100%-109.99%",IF(K114&lt;1.75,"110%-174.99%","175%+ Review")))))</x:f>
        <x:v>80%-99.99%</x:v>
      </x:c>
      <x:c r="M114" s="56" t="str">
        <x:v>Ready for Commission Calculation</x:v>
      </x:c>
      <x:c r="N114" s="74" t="n">
        <x:f>IF(E114&lt;=0,0,MIN(G114,E114*0.8)*0.01+MAX(0,MIN(G114,E114)-E114*0.8)*0.02)</x:f>
        <x:v>1745.9720000000002</x:v>
      </x:c>
      <x:c r="O114" s="74" t="n">
        <x:f>IF(E114&lt;=0,0,MAX(0,MIN(G114,E114*1.1)-E114)*0.035+MAX(0,G114-E114*1.1)*0.05)</x:f>
        <x:v>0</x:v>
      </x:c>
      <x:c r="P114" s="74" t="n">
        <x:f>N114+O114</x:f>
        <x:v>1745.9720000000002</x:v>
      </x:c>
      <x:c r="Q114" s="76" t="n">
        <x:f>IF(G114&lt;=0,0,P114/G114)</x:f>
        <x:v>0.011892035477793687</x:v>
      </x:c>
    </x:row>
    <x:row r="115">
      <x:c r="A115" s="56" t="str">
        <x:v>EMP010</x:v>
      </x:c>
      <x:c r="B115" s="56" t="str">
        <x:v>Ryan Kim</x:v>
      </x:c>
      <x:c r="C115" s="56" t="str">
        <x:v>Senior AE</x:v>
      </x:c>
      <x:c r="D115" s="56" t="str">
        <x:v>2026-06</x:v>
      </x:c>
      <x:c r="E115" s="72" t="n">
        <x:v>167400</x:v>
      </x:c>
      <x:c r="F115" s="72" t="n">
        <x:v>175949.86</x:v>
      </x:c>
      <x:c r="G115" s="72" t="n">
        <x:v>163208.45</x:v>
      </x:c>
      <x:c r="H115" s="72" t="n">
        <x:v>12741.41</x:v>
      </x:c>
      <x:c r="I115" s="56" t="n">
        <x:v>0</x:v>
      </x:c>
      <x:c r="J115" s="56" t="n">
        <x:v>0</x:v>
      </x:c>
      <x:c r="K115" s="68" t="n">
        <x:f>IF(E115&lt;=0,"",G115/E115)</x:f>
        <x:v>0.9749608721624852</x:v>
      </x:c>
      <x:c r="L115" t="str">
        <x:f>IF(K115="","Not Calculated",IF(K115&lt;0.8,"Below 80%",IF(K115&lt;1,"80%-99.99%",IF(K115&lt;1.1,"100%-109.99%",IF(K115&lt;1.75,"110%-174.99%","175%+ Review")))))</x:f>
        <x:v>80%-99.99%</x:v>
      </x:c>
      <x:c r="M115" s="56" t="str">
        <x:v>Ready for Commission Calculation</x:v>
      </x:c>
      <x:c r="N115" s="74" t="n">
        <x:f>IF(E115&lt;=0,0,MIN(G115,E115*0.8)*0.01+MAX(0,MIN(G115,E115)-E115*0.8)*0.02)</x:f>
        <x:v>1924.9690000000003</x:v>
      </x:c>
      <x:c r="O115" s="74" t="n">
        <x:f>IF(E115&lt;=0,0,MAX(0,MIN(G115,E115*1.1)-E115)*0.035+MAX(0,G115-E115*1.1)*0.05)</x:f>
        <x:v>0</x:v>
      </x:c>
      <x:c r="P115" s="74" t="n">
        <x:f>N115+O115</x:f>
        <x:v>1924.9690000000003</x:v>
      </x:c>
      <x:c r="Q115" s="76" t="n">
        <x:f>IF(G115&lt;=0,0,P115/G115)</x:f>
        <x:v>0.011794542500709982</x:v>
      </x:c>
    </x:row>
    <x:row r="116">
      <x:c r="A116" s="56" t="str">
        <x:v>EMP010</x:v>
      </x:c>
      <x:c r="B116" s="56" t="str">
        <x:v>Ryan Kim</x:v>
      </x:c>
      <x:c r="C116" s="56" t="str">
        <x:v>Senior AE</x:v>
      </x:c>
      <x:c r="D116" s="56" t="str">
        <x:v>2026-07</x:v>
      </x:c>
      <x:c r="E116" s="72" t="n">
        <x:v>130200.00000000001</x:v>
      </x:c>
      <x:c r="F116" s="72" t="n">
        <x:v>130264.92</x:v>
      </x:c>
      <x:c r="G116" s="72" t="n">
        <x:v>129434.56</x:v>
      </x:c>
      <x:c r="H116" s="72" t="n">
        <x:v>830.36</x:v>
      </x:c>
      <x:c r="I116" s="56" t="n">
        <x:v>0</x:v>
      </x:c>
      <x:c r="J116" s="56" t="n">
        <x:v>0</x:v>
      </x:c>
      <x:c r="K116" s="68" t="n">
        <x:f>IF(E116&lt;=0,"",G116/E116)</x:f>
        <x:v>0.9941210445468509</x:v>
      </x:c>
      <x:c r="L116" t="str">
        <x:f>IF(K116="","Not Calculated",IF(K116&lt;0.8,"Below 80%",IF(K116&lt;1,"80%-99.99%",IF(K116&lt;1.1,"100%-109.99%",IF(K116&lt;1.75,"110%-174.99%","175%+ Review")))))</x:f>
        <x:v>80%-99.99%</x:v>
      </x:c>
      <x:c r="M116" s="56" t="str">
        <x:v>Ready for Commission Calculation</x:v>
      </x:c>
      <x:c r="N116" s="74" t="n">
        <x:f>IF(E116&lt;=0,0,MIN(G116,E116*0.8)*0.01+MAX(0,MIN(G116,E116)-E116*0.8)*0.02)</x:f>
        <x:v>1547.0911999999998</x:v>
      </x:c>
      <x:c r="O116" s="74" t="n">
        <x:f>IF(E116&lt;=0,0,MAX(0,MIN(G116,E116*1.1)-E116)*0.035+MAX(0,G116-E116*1.1)*0.05)</x:f>
        <x:v>0</x:v>
      </x:c>
      <x:c r="P116" s="74" t="n">
        <x:f>N116+O116</x:f>
        <x:v>1547.0911999999998</x:v>
      </x:c>
      <x:c r="Q116" s="76" t="n">
        <x:f>IF(G116&lt;=0,0,P116/G116)</x:f>
        <x:v>0.011952690224311033</x:v>
      </x:c>
    </x:row>
    <x:row r="117">
      <x:c r="A117" s="56" t="str">
        <x:v>EMP010</x:v>
      </x:c>
      <x:c r="B117" s="56" t="str">
        <x:v>Ryan Kim</x:v>
      </x:c>
      <x:c r="C117" s="56" t="str">
        <x:v>Senior AE</x:v>
      </x:c>
      <x:c r="D117" s="56" t="str">
        <x:v>2026-08</x:v>
      </x:c>
      <x:c r="E117" s="72" t="n">
        <x:v>130200.00000000001</x:v>
      </x:c>
      <x:c r="F117" s="72" t="n">
        <x:v>123898.4</x:v>
      </x:c>
      <x:c r="G117" s="72" t="n">
        <x:v>123898.4</x:v>
      </x:c>
      <x:c r="H117" s="72" t="n">
        <x:v>0</x:v>
      </x:c>
      <x:c r="I117" s="56" t="n">
        <x:v>0</x:v>
      </x:c>
      <x:c r="J117" s="56" t="n">
        <x:v>0</x:v>
      </x:c>
      <x:c r="K117" s="68" t="n">
        <x:f>IF(E117&lt;=0,"",G117/E117)</x:f>
        <x:v>0.951600614439324</x:v>
      </x:c>
      <x:c r="L117" t="str">
        <x:f>IF(K117="","Not Calculated",IF(K117&lt;0.8,"Below 80%",IF(K117&lt;1,"80%-99.99%",IF(K117&lt;1.1,"100%-109.99%",IF(K117&lt;1.75,"110%-174.99%","175%+ Review")))))</x:f>
        <x:v>80%-99.99%</x:v>
      </x:c>
      <x:c r="M117" s="56" t="str">
        <x:v>Ready for Commission Calculation</x:v>
      </x:c>
      <x:c r="N117" s="74" t="n">
        <x:f>IF(E117&lt;=0,0,MIN(G117,E117*0.8)*0.01+MAX(0,MIN(G117,E117)-E117*0.8)*0.02)</x:f>
        <x:v>1436.3679999999997</x:v>
      </x:c>
      <x:c r="O117" s="74" t="n">
        <x:f>IF(E117&lt;=0,0,MAX(0,MIN(G117,E117*1.1)-E117)*0.035+MAX(0,G117-E117*1.1)*0.05)</x:f>
        <x:v>0</x:v>
      </x:c>
      <x:c r="P117" s="74" t="n">
        <x:f>N117+O117</x:f>
        <x:v>1436.3679999999997</x:v>
      </x:c>
      <x:c r="Q117" s="76" t="n">
        <x:f>IF(G117&lt;=0,0,P117/G117)</x:f>
        <x:v>0.011593111775454726</x:v>
      </x:c>
    </x:row>
    <x:row r="118">
      <x:c r="A118" s="56" t="str">
        <x:v>EMP010</x:v>
      </x:c>
      <x:c r="B118" s="56" t="str">
        <x:v>Ryan Kim</x:v>
      </x:c>
      <x:c r="C118" s="56" t="str">
        <x:v>Senior AE</x:v>
      </x:c>
      <x:c r="D118" s="56" t="str">
        <x:v>2026-09</x:v>
      </x:c>
      <x:c r="E118" s="72" t="n">
        <x:v>186000</x:v>
      </x:c>
      <x:c r="F118" s="72" t="n">
        <x:v>173920.23000000004</x:v>
      </x:c>
      <x:c r="G118" s="72" t="n">
        <x:v>172551.98000000004</x:v>
      </x:c>
      <x:c r="H118" s="72" t="n">
        <x:v>1368.25</x:v>
      </x:c>
      <x:c r="I118" s="56" t="n">
        <x:v>0</x:v>
      </x:c>
      <x:c r="J118" s="56" t="n">
        <x:v>0</x:v>
      </x:c>
      <x:c r="K118" s="68" t="n">
        <x:f>IF(E118&lt;=0,"",G118/E118)</x:f>
        <x:v>0.9276988172043013</x:v>
      </x:c>
      <x:c r="L118" t="str">
        <x:f>IF(K118="","Not Calculated",IF(K118&lt;0.8,"Below 80%",IF(K118&lt;1,"80%-99.99%",IF(K118&lt;1.1,"100%-109.99%",IF(K118&lt;1.75,"110%-174.99%","175%+ Review")))))</x:f>
        <x:v>80%-99.99%</x:v>
      </x:c>
      <x:c r="M118" s="56" t="str">
        <x:v>Ready for Commission Calculation</x:v>
      </x:c>
      <x:c r="N118" s="74" t="n">
        <x:f>IF(E118&lt;=0,0,MIN(G118,E118*0.8)*0.01+MAX(0,MIN(G118,E118)-E118*0.8)*0.02)</x:f>
        <x:v>1963.0396000000007</x:v>
      </x:c>
      <x:c r="O118" s="74" t="n">
        <x:f>IF(E118&lt;=0,0,MAX(0,MIN(G118,E118*1.1)-E118)*0.035+MAX(0,G118-E118*1.1)*0.05)</x:f>
        <x:v>0</x:v>
      </x:c>
      <x:c r="P118" s="74" t="n">
        <x:f>N118+O118</x:f>
        <x:v>1963.0396000000007</x:v>
      </x:c>
      <x:c r="Q118" s="76" t="n">
        <x:f>IF(G118&lt;=0,0,P118/G118)</x:f>
        <x:v>0.011376511587986415</x:v>
      </x:c>
    </x:row>
    <x:row r="119">
      <x:c r="A119" s="56" t="str">
        <x:v>EMP010</x:v>
      </x:c>
      <x:c r="B119" s="56" t="str">
        <x:v>Ryan Kim</x:v>
      </x:c>
      <x:c r="C119" s="56" t="str">
        <x:v>Senior AE</x:v>
      </x:c>
      <x:c r="D119" s="56" t="str">
        <x:v>2026-10</x:v>
      </x:c>
      <x:c r="E119" s="72" t="n">
        <x:v>186000</x:v>
      </x:c>
      <x:c r="F119" s="72" t="n">
        <x:v>202173.44999999998</x:v>
      </x:c>
      <x:c r="G119" s="72" t="n">
        <x:v>200292.36</x:v>
      </x:c>
      <x:c r="H119" s="72" t="n">
        <x:v>1881.0900000000001</x:v>
      </x:c>
      <x:c r="I119" s="56" t="n">
        <x:v>0</x:v>
      </x:c>
      <x:c r="J119" s="56" t="n">
        <x:v>0</x:v>
      </x:c>
      <x:c r="K119" s="68" t="n">
        <x:f>IF(E119&lt;=0,"",G119/E119)</x:f>
        <x:v>1.0768406451612902</x:v>
      </x:c>
      <x:c r="L119" t="str">
        <x:f>IF(K119="","Not Calculated",IF(K119&lt;0.8,"Below 80%",IF(K119&lt;1,"80%-99.99%",IF(K119&lt;1.1,"100%-109.99%",IF(K119&lt;1.75,"110%-174.99%","175%+ Review")))))</x:f>
        <x:v>100%-109.99%</x:v>
      </x:c>
      <x:c r="M119" s="56" t="str">
        <x:v>Ready for Commission Calculation</x:v>
      </x:c>
      <x:c r="N119" s="74" t="n">
        <x:f>IF(E119&lt;=0,0,MIN(G119,E119*0.8)*0.01+MAX(0,MIN(G119,E119)-E119*0.8)*0.02)</x:f>
        <x:v>2232</x:v>
      </x:c>
      <x:c r="O119" s="74" t="n">
        <x:f>IF(E119&lt;=0,0,MAX(0,MIN(G119,E119*1.1)-E119)*0.035+MAX(0,G119-E119*1.1)*0.05)</x:f>
        <x:v>500.23259999999954</x:v>
      </x:c>
      <x:c r="P119" s="74" t="n">
        <x:f>N119+O119</x:f>
        <x:v>2732.2325999999994</x:v>
      </x:c>
      <x:c r="Q119" s="76" t="n">
        <x:f>IF(G119&lt;=0,0,P119/G119)</x:f>
        <x:v>0.013641222261298432</x:v>
      </x:c>
    </x:row>
    <x:row r="120">
      <x:c r="A120" s="56" t="str">
        <x:v>EMP010</x:v>
      </x:c>
      <x:c r="B120" s="56" t="str">
        <x:v>Ryan Kim</x:v>
      </x:c>
      <x:c r="C120" s="56" t="str">
        <x:v>Senior AE</x:v>
      </x:c>
      <x:c r="D120" s="56" t="str">
        <x:v>2026-11</x:v>
      </x:c>
      <x:c r="E120" s="72" t="n">
        <x:v>167400</x:v>
      </x:c>
      <x:c r="F120" s="72" t="n">
        <x:v>165314.99000000002</x:v>
      </x:c>
      <x:c r="G120" s="72" t="n">
        <x:v>164985.69000000003</x:v>
      </x:c>
      <x:c r="H120" s="72" t="n">
        <x:v>329.3</x:v>
      </x:c>
      <x:c r="I120" s="56" t="n">
        <x:v>0</x:v>
      </x:c>
      <x:c r="J120" s="56" t="n">
        <x:v>0</x:v>
      </x:c>
      <x:c r="K120" s="68" t="n">
        <x:f>IF(E120&lt;=0,"",G120/E120)</x:f>
        <x:v>0.9855775985663084</x:v>
      </x:c>
      <x:c r="L120" t="str">
        <x:f>IF(K120="","Not Calculated",IF(K120&lt;0.8,"Below 80%",IF(K120&lt;1,"80%-99.99%",IF(K120&lt;1.1,"100%-109.99%",IF(K120&lt;1.75,"110%-174.99%","175%+ Review")))))</x:f>
        <x:v>80%-99.99%</x:v>
      </x:c>
      <x:c r="M120" s="56" t="str">
        <x:v>Ready for Commission Calculation</x:v>
      </x:c>
      <x:c r="N120" s="74" t="n">
        <x:f>IF(E120&lt;=0,0,MIN(G120,E120*0.8)*0.01+MAX(0,MIN(G120,E120)-E120*0.8)*0.02)</x:f>
        <x:v>1960.5138000000006</x:v>
      </x:c>
      <x:c r="O120" s="74" t="n">
        <x:f>IF(E120&lt;=0,0,MAX(0,MIN(G120,E120*1.1)-E120)*0.035+MAX(0,G120-E120*1.1)*0.05)</x:f>
        <x:v>0</x:v>
      </x:c>
      <x:c r="P120" s="74" t="n">
        <x:f>N120+O120</x:f>
        <x:v>1960.5138000000006</x:v>
      </x:c>
      <x:c r="Q120" s="76" t="n">
        <x:f>IF(G120&lt;=0,0,P120/G120)</x:f>
        <x:v>0.011882932392500224</x:v>
      </x:c>
    </x:row>
    <x:row r="121">
      <x:c r="A121" s="56" t="str">
        <x:v>EMP010</x:v>
      </x:c>
      <x:c r="B121" s="56" t="str">
        <x:v>Ryan Kim</x:v>
      </x:c>
      <x:c r="C121" s="56" t="str">
        <x:v>Senior AE</x:v>
      </x:c>
      <x:c r="D121" s="56" t="str">
        <x:v>2026-12</x:v>
      </x:c>
      <x:c r="E121" s="72" t="n">
        <x:v>186000</x:v>
      </x:c>
      <x:c r="F121" s="72" t="n">
        <x:v>192479.58</x:v>
      </x:c>
      <x:c r="G121" s="72" t="n">
        <x:v>192479.58</x:v>
      </x:c>
      <x:c r="H121" s="72" t="n">
        <x:v>0</x:v>
      </x:c>
      <x:c r="I121" s="56" t="n">
        <x:v>0</x:v>
      </x:c>
      <x:c r="J121" s="56" t="n">
        <x:v>0</x:v>
      </x:c>
      <x:c r="K121" s="68" t="n">
        <x:f>IF(E121&lt;=0,"",G121/E121)</x:f>
        <x:v>1.0348364516129032</x:v>
      </x:c>
      <x:c r="L121" t="str">
        <x:f>IF(K121="","Not Calculated",IF(K121&lt;0.8,"Below 80%",IF(K121&lt;1,"80%-99.99%",IF(K121&lt;1.1,"100%-109.99%",IF(K121&lt;1.75,"110%-174.99%","175%+ Review")))))</x:f>
        <x:v>100%-109.99%</x:v>
      </x:c>
      <x:c r="M121" s="56" t="str">
        <x:v>Ready for Commission Calculation</x:v>
      </x:c>
      <x:c r="N121" s="74" t="n">
        <x:f>IF(E121&lt;=0,0,MIN(G121,E121*0.8)*0.01+MAX(0,MIN(G121,E121)-E121*0.8)*0.02)</x:f>
        <x:v>2232</x:v>
      </x:c>
      <x:c r="O121" s="74" t="n">
        <x:f>IF(E121&lt;=0,0,MAX(0,MIN(G121,E121*1.1)-E121)*0.035+MAX(0,G121-E121*1.1)*0.05)</x:f>
        <x:v>226.78529999999958</x:v>
      </x:c>
      <x:c r="P121" s="74" t="n">
        <x:f>N121+O121</x:f>
        <x:v>2458.7852999999996</x:v>
      </x:c>
      <x:c r="Q121" s="76" t="n">
        <x:f>IF(G121&lt;=0,0,P121/G121)</x:f>
        <x:v>0.012774265716913969</x:v>
      </x:c>
    </x:row>
    <x:row r="122">
      <x:c r="A122" s="56" t="str">
        <x:v>EMP011</x:v>
      </x:c>
      <x:c r="B122" s="56" t="str">
        <x:v>Chloe Nguyen</x:v>
      </x:c>
      <x:c r="C122" s="56" t="str">
        <x:v>Senior AE</x:v>
      </x:c>
      <x:c r="D122" s="56" t="str">
        <x:v>2026-01</x:v>
      </x:c>
      <x:c r="E122" s="72" t="n">
        <x:v>0</x:v>
      </x:c>
      <x:c r="F122" s="72" t="n">
        <x:v>0</x:v>
      </x:c>
      <x:c r="G122" s="72" t="n">
        <x:v>0</x:v>
      </x:c>
      <x:c r="H122" s="72" t="n">
        <x:v>0</x:v>
      </x:c>
      <x:c r="I122" s="56" t="n">
        <x:v>0</x:v>
      </x:c>
      <x:c r="J122" s="56" t="n">
        <x:v>0</x:v>
      </x:c>
      <x:c r="K122" s="68" t="str">
        <x:f>IF(E122&lt;=0,"",G122/E122)</x:f>
      </x:c>
      <x:c r="L122" t="str">
        <x:f>IF(K122="","Not Calculated",IF(K122&lt;0.8,"Below 80%",IF(K122&lt;1,"80%-99.99%",IF(K122&lt;1.1,"100%-109.99%",IF(K122&lt;1.75,"110%-174.99%","175%+ Review")))))</x:f>
        <x:v>Not Calculated</x:v>
      </x:c>
      <x:c r="M122" s="56" t="str">
        <x:v>Not Applicable</x:v>
      </x:c>
      <x:c r="N122" s="74" t="n">
        <x:f>IF(E122&lt;=0,0,MIN(G122,E122*0.8)*0.01+MAX(0,MIN(G122,E122)-E122*0.8)*0.02)</x:f>
        <x:v>0</x:v>
      </x:c>
      <x:c r="O122" s="74" t="n">
        <x:f>IF(E122&lt;=0,0,MAX(0,MIN(G122,E122*1.1)-E122)*0.035+MAX(0,G122-E122*1.1)*0.05)</x:f>
        <x:v>0</x:v>
      </x:c>
      <x:c r="P122" s="74" t="n">
        <x:f>N122+O122</x:f>
        <x:v>0</x:v>
      </x:c>
      <x:c r="Q122" s="76" t="n">
        <x:f>IF(G122&lt;=0,0,P122/G122)</x:f>
        <x:v>0</x:v>
      </x:c>
    </x:row>
    <x:row r="123">
      <x:c r="A123" s="56" t="str">
        <x:v>EMP011</x:v>
      </x:c>
      <x:c r="B123" s="56" t="str">
        <x:v>Chloe Nguyen</x:v>
      </x:c>
      <x:c r="C123" s="56" t="str">
        <x:v>Senior AE</x:v>
      </x:c>
      <x:c r="D123" s="56" t="str">
        <x:v>2026-02</x:v>
      </x:c>
      <x:c r="E123" s="72" t="n">
        <x:v>0</x:v>
      </x:c>
      <x:c r="F123" s="72" t="n">
        <x:v>0</x:v>
      </x:c>
      <x:c r="G123" s="72" t="n">
        <x:v>0</x:v>
      </x:c>
      <x:c r="H123" s="72" t="n">
        <x:v>0</x:v>
      </x:c>
      <x:c r="I123" s="56" t="n">
        <x:v>0</x:v>
      </x:c>
      <x:c r="J123" s="56" t="n">
        <x:v>0</x:v>
      </x:c>
      <x:c r="K123" s="68" t="str">
        <x:f>IF(E123&lt;=0,"",G123/E123)</x:f>
      </x:c>
      <x:c r="L123" t="str">
        <x:f>IF(K123="","Not Calculated",IF(K123&lt;0.8,"Below 80%",IF(K123&lt;1,"80%-99.99%",IF(K123&lt;1.1,"100%-109.99%",IF(K123&lt;1.75,"110%-174.99%","175%+ Review")))))</x:f>
        <x:v>Not Calculated</x:v>
      </x:c>
      <x:c r="M123" s="56" t="str">
        <x:v>Not Applicable</x:v>
      </x:c>
      <x:c r="N123" s="74" t="n">
        <x:f>IF(E123&lt;=0,0,MIN(G123,E123*0.8)*0.01+MAX(0,MIN(G123,E123)-E123*0.8)*0.02)</x:f>
        <x:v>0</x:v>
      </x:c>
      <x:c r="O123" s="74" t="n">
        <x:f>IF(E123&lt;=0,0,MAX(0,MIN(G123,E123*1.1)-E123)*0.035+MAX(0,G123-E123*1.1)*0.05)</x:f>
        <x:v>0</x:v>
      </x:c>
      <x:c r="P123" s="74" t="n">
        <x:f>N123+O123</x:f>
        <x:v>0</x:v>
      </x:c>
      <x:c r="Q123" s="76" t="n">
        <x:f>IF(G123&lt;=0,0,P123/G123)</x:f>
        <x:v>0</x:v>
      </x:c>
    </x:row>
    <x:row r="124">
      <x:c r="A124" s="56" t="str">
        <x:v>EMP011</x:v>
      </x:c>
      <x:c r="B124" s="56" t="str">
        <x:v>Chloe Nguyen</x:v>
      </x:c>
      <x:c r="C124" s="56" t="str">
        <x:v>Senior AE</x:v>
      </x:c>
      <x:c r="D124" s="56" t="str">
        <x:v>2026-03</x:v>
      </x:c>
      <x:c r="E124" s="72" t="n">
        <x:v>0</x:v>
      </x:c>
      <x:c r="F124" s="72" t="n">
        <x:v>0</x:v>
      </x:c>
      <x:c r="G124" s="72" t="n">
        <x:v>0</x:v>
      </x:c>
      <x:c r="H124" s="72" t="n">
        <x:v>0</x:v>
      </x:c>
      <x:c r="I124" s="56" t="n">
        <x:v>0</x:v>
      </x:c>
      <x:c r="J124" s="56" t="n">
        <x:v>0</x:v>
      </x:c>
      <x:c r="K124" s="68" t="str">
        <x:f>IF(E124&lt;=0,"",G124/E124)</x:f>
      </x:c>
      <x:c r="L124" t="str">
        <x:f>IF(K124="","Not Calculated",IF(K124&lt;0.8,"Below 80%",IF(K124&lt;1,"80%-99.99%",IF(K124&lt;1.1,"100%-109.99%",IF(K124&lt;1.75,"110%-174.99%","175%+ Review")))))</x:f>
        <x:v>Not Calculated</x:v>
      </x:c>
      <x:c r="M124" s="56" t="str">
        <x:v>Not Applicable</x:v>
      </x:c>
      <x:c r="N124" s="74" t="n">
        <x:f>IF(E124&lt;=0,0,MIN(G124,E124*0.8)*0.01+MAX(0,MIN(G124,E124)-E124*0.8)*0.02)</x:f>
        <x:v>0</x:v>
      </x:c>
      <x:c r="O124" s="74" t="n">
        <x:f>IF(E124&lt;=0,0,MAX(0,MIN(G124,E124*1.1)-E124)*0.035+MAX(0,G124-E124*1.1)*0.05)</x:f>
        <x:v>0</x:v>
      </x:c>
      <x:c r="P124" s="74" t="n">
        <x:f>N124+O124</x:f>
        <x:v>0</x:v>
      </x:c>
      <x:c r="Q124" s="76" t="n">
        <x:f>IF(G124&lt;=0,0,P124/G124)</x:f>
        <x:v>0</x:v>
      </x:c>
    </x:row>
    <x:row r="125">
      <x:c r="A125" s="56" t="str">
        <x:v>EMP011</x:v>
      </x:c>
      <x:c r="B125" s="56" t="str">
        <x:v>Chloe Nguyen</x:v>
      </x:c>
      <x:c r="C125" s="56" t="str">
        <x:v>Senior AE</x:v>
      </x:c>
      <x:c r="D125" s="56" t="str">
        <x:v>2026-04</x:v>
      </x:c>
      <x:c r="E125" s="72" t="n">
        <x:v>0</x:v>
      </x:c>
      <x:c r="F125" s="72" t="n">
        <x:v>0</x:v>
      </x:c>
      <x:c r="G125" s="72" t="n">
        <x:v>0</x:v>
      </x:c>
      <x:c r="H125" s="72" t="n">
        <x:v>0</x:v>
      </x:c>
      <x:c r="I125" s="56" t="n">
        <x:v>0</x:v>
      </x:c>
      <x:c r="J125" s="56" t="n">
        <x:v>0</x:v>
      </x:c>
      <x:c r="K125" s="68" t="str">
        <x:f>IF(E125&lt;=0,"",G125/E125)</x:f>
      </x:c>
      <x:c r="L125" t="str">
        <x:f>IF(K125="","Not Calculated",IF(K125&lt;0.8,"Below 80%",IF(K125&lt;1,"80%-99.99%",IF(K125&lt;1.1,"100%-109.99%",IF(K125&lt;1.75,"110%-174.99%","175%+ Review")))))</x:f>
        <x:v>Not Calculated</x:v>
      </x:c>
      <x:c r="M125" s="56" t="str">
        <x:v>Not Applicable</x:v>
      </x:c>
      <x:c r="N125" s="74" t="n">
        <x:f>IF(E125&lt;=0,0,MIN(G125,E125*0.8)*0.01+MAX(0,MIN(G125,E125)-E125*0.8)*0.02)</x:f>
        <x:v>0</x:v>
      </x:c>
      <x:c r="O125" s="74" t="n">
        <x:f>IF(E125&lt;=0,0,MAX(0,MIN(G125,E125*1.1)-E125)*0.035+MAX(0,G125-E125*1.1)*0.05)</x:f>
        <x:v>0</x:v>
      </x:c>
      <x:c r="P125" s="74" t="n">
        <x:f>N125+O125</x:f>
        <x:v>0</x:v>
      </x:c>
      <x:c r="Q125" s="76" t="n">
        <x:f>IF(G125&lt;=0,0,P125/G125)</x:f>
        <x:v>0</x:v>
      </x:c>
    </x:row>
    <x:row r="126">
      <x:c r="A126" s="56" t="str">
        <x:v>EMP011</x:v>
      </x:c>
      <x:c r="B126" s="56" t="str">
        <x:v>Chloe Nguyen</x:v>
      </x:c>
      <x:c r="C126" s="56" t="str">
        <x:v>Senior AE</x:v>
      </x:c>
      <x:c r="D126" s="56" t="str">
        <x:v>2026-05</x:v>
      </x:c>
      <x:c r="E126" s="72" t="n">
        <x:v>0</x:v>
      </x:c>
      <x:c r="F126" s="72" t="n">
        <x:v>0</x:v>
      </x:c>
      <x:c r="G126" s="72" t="n">
        <x:v>0</x:v>
      </x:c>
      <x:c r="H126" s="72" t="n">
        <x:v>0</x:v>
      </x:c>
      <x:c r="I126" s="56" t="n">
        <x:v>0</x:v>
      </x:c>
      <x:c r="J126" s="56" t="n">
        <x:v>0</x:v>
      </x:c>
      <x:c r="K126" s="68" t="str">
        <x:f>IF(E126&lt;=0,"",G126/E126)</x:f>
      </x:c>
      <x:c r="L126" t="str">
        <x:f>IF(K126="","Not Calculated",IF(K126&lt;0.8,"Below 80%",IF(K126&lt;1,"80%-99.99%",IF(K126&lt;1.1,"100%-109.99%",IF(K126&lt;1.75,"110%-174.99%","175%+ Review")))))</x:f>
        <x:v>Not Calculated</x:v>
      </x:c>
      <x:c r="M126" s="56" t="str">
        <x:v>Not Applicable</x:v>
      </x:c>
      <x:c r="N126" s="74" t="n">
        <x:f>IF(E126&lt;=0,0,MIN(G126,E126*0.8)*0.01+MAX(0,MIN(G126,E126)-E126*0.8)*0.02)</x:f>
        <x:v>0</x:v>
      </x:c>
      <x:c r="O126" s="74" t="n">
        <x:f>IF(E126&lt;=0,0,MAX(0,MIN(G126,E126*1.1)-E126)*0.035+MAX(0,G126-E126*1.1)*0.05)</x:f>
        <x:v>0</x:v>
      </x:c>
      <x:c r="P126" s="74" t="n">
        <x:f>N126+O126</x:f>
        <x:v>0</x:v>
      </x:c>
      <x:c r="Q126" s="76" t="n">
        <x:f>IF(G126&lt;=0,0,P126/G126)</x:f>
        <x:v>0</x:v>
      </x:c>
    </x:row>
    <x:row r="127">
      <x:c r="A127" s="56" t="str">
        <x:v>EMP011</x:v>
      </x:c>
      <x:c r="B127" s="56" t="str">
        <x:v>Chloe Nguyen</x:v>
      </x:c>
      <x:c r="C127" s="56" t="str">
        <x:v>Senior AE</x:v>
      </x:c>
      <x:c r="D127" s="56" t="str">
        <x:v>2026-06</x:v>
      </x:c>
      <x:c r="E127" s="72" t="n">
        <x:v>0</x:v>
      </x:c>
      <x:c r="F127" s="72" t="n">
        <x:v>0</x:v>
      </x:c>
      <x:c r="G127" s="72" t="n">
        <x:v>0</x:v>
      </x:c>
      <x:c r="H127" s="72" t="n">
        <x:v>0</x:v>
      </x:c>
      <x:c r="I127" s="56" t="n">
        <x:v>0</x:v>
      </x:c>
      <x:c r="J127" s="56" t="n">
        <x:v>0</x:v>
      </x:c>
      <x:c r="K127" s="68" t="str">
        <x:f>IF(E127&lt;=0,"",G127/E127)</x:f>
      </x:c>
      <x:c r="L127" t="str">
        <x:f>IF(K127="","Not Calculated",IF(K127&lt;0.8,"Below 80%",IF(K127&lt;1,"80%-99.99%",IF(K127&lt;1.1,"100%-109.99%",IF(K127&lt;1.75,"110%-174.99%","175%+ Review")))))</x:f>
        <x:v>Not Calculated</x:v>
      </x:c>
      <x:c r="M127" s="56" t="str">
        <x:v>Not Applicable</x:v>
      </x:c>
      <x:c r="N127" s="74" t="n">
        <x:f>IF(E127&lt;=0,0,MIN(G127,E127*0.8)*0.01+MAX(0,MIN(G127,E127)-E127*0.8)*0.02)</x:f>
        <x:v>0</x:v>
      </x:c>
      <x:c r="O127" s="74" t="n">
        <x:f>IF(E127&lt;=0,0,MAX(0,MIN(G127,E127*1.1)-E127)*0.035+MAX(0,G127-E127*1.1)*0.05)</x:f>
        <x:v>0</x:v>
      </x:c>
      <x:c r="P127" s="74" t="n">
        <x:f>N127+O127</x:f>
        <x:v>0</x:v>
      </x:c>
      <x:c r="Q127" s="76" t="n">
        <x:f>IF(G127&lt;=0,0,P127/G127)</x:f>
        <x:v>0</x:v>
      </x:c>
    </x:row>
    <x:row r="128">
      <x:c r="A128" s="56" t="str">
        <x:v>EMP011</x:v>
      </x:c>
      <x:c r="B128" s="56" t="str">
        <x:v>Chloe Nguyen</x:v>
      </x:c>
      <x:c r="C128" s="56" t="str">
        <x:v>Senior AE</x:v>
      </x:c>
      <x:c r="D128" s="56" t="str">
        <x:v>2026-07</x:v>
      </x:c>
      <x:c r="E128" s="72" t="n">
        <x:v>0</x:v>
      </x:c>
      <x:c r="F128" s="72" t="n">
        <x:v>0</x:v>
      </x:c>
      <x:c r="G128" s="72" t="n">
        <x:v>0</x:v>
      </x:c>
      <x:c r="H128" s="72" t="n">
        <x:v>0</x:v>
      </x:c>
      <x:c r="I128" s="56" t="n">
        <x:v>0</x:v>
      </x:c>
      <x:c r="J128" s="56" t="n">
        <x:v>0</x:v>
      </x:c>
      <x:c r="K128" s="68" t="str">
        <x:f>IF(E128&lt;=0,"",G128/E128)</x:f>
      </x:c>
      <x:c r="L128" t="str">
        <x:f>IF(K128="","Not Calculated",IF(K128&lt;0.8,"Below 80%",IF(K128&lt;1,"80%-99.99%",IF(K128&lt;1.1,"100%-109.99%",IF(K128&lt;1.75,"110%-174.99%","175%+ Review")))))</x:f>
        <x:v>Not Calculated</x:v>
      </x:c>
      <x:c r="M128" s="56" t="str">
        <x:v>Not Applicable</x:v>
      </x:c>
      <x:c r="N128" s="74" t="n">
        <x:f>IF(E128&lt;=0,0,MIN(G128,E128*0.8)*0.01+MAX(0,MIN(G128,E128)-E128*0.8)*0.02)</x:f>
        <x:v>0</x:v>
      </x:c>
      <x:c r="O128" s="74" t="n">
        <x:f>IF(E128&lt;=0,0,MAX(0,MIN(G128,E128*1.1)-E128)*0.035+MAX(0,G128-E128*1.1)*0.05)</x:f>
        <x:v>0</x:v>
      </x:c>
      <x:c r="P128" s="74" t="n">
        <x:f>N128+O128</x:f>
        <x:v>0</x:v>
      </x:c>
      <x:c r="Q128" s="76" t="n">
        <x:f>IF(G128&lt;=0,0,P128/G128)</x:f>
        <x:v>0</x:v>
      </x:c>
    </x:row>
    <x:row r="129">
      <x:c r="A129" s="56" t="str">
        <x:v>EMP011</x:v>
      </x:c>
      <x:c r="B129" s="56" t="str">
        <x:v>Chloe Nguyen</x:v>
      </x:c>
      <x:c r="C129" s="56" t="str">
        <x:v>Senior AE</x:v>
      </x:c>
      <x:c r="D129" s="56" t="str">
        <x:v>2026-08</x:v>
      </x:c>
      <x:c r="E129" s="72" t="n">
        <x:v>29083.87096774194</x:v>
      </x:c>
      <x:c r="F129" s="72" t="n">
        <x:v>33672.37</x:v>
      </x:c>
      <x:c r="G129" s="72" t="n">
        <x:v>31721.149999999998</x:v>
      </x:c>
      <x:c r="H129" s="72" t="n">
        <x:v>1435.92</x:v>
      </x:c>
      <x:c r="I129" s="56" t="n">
        <x:v>0</x:v>
      </x:c>
      <x:c r="J129" s="56" t="n">
        <x:v>1</x:v>
      </x:c>
      <x:c r="K129" s="68" t="n">
        <x:f>IF(E129&lt;=0,"",G129/E129)</x:f>
        <x:v>1.090678405057675</x:v>
      </x:c>
      <x:c r="L129" t="str">
        <x:f>IF(K129="","Not Calculated",IF(K129&lt;0.8,"Below 80%",IF(K129&lt;1,"80%-99.99%",IF(K129&lt;1.1,"100%-109.99%",IF(K129&lt;1.75,"110%-174.99%","175%+ Review")))))</x:f>
        <x:v>100%-109.99%</x:v>
      </x:c>
      <x:c r="M129" s="56" t="str">
        <x:v>HOLD - Sales Credit</x:v>
      </x:c>
      <x:c r="N129" s="74" t="n">
        <x:f>IF(E129&lt;=0,0,MIN(G129,E129*0.8)*0.01+MAX(0,MIN(G129,E129)-E129*0.8)*0.02)</x:f>
        <x:v>349.0064516129033</x:v>
      </x:c>
      <x:c r="O129" s="74" t="n">
        <x:f>IF(E129&lt;=0,0,MAX(0,MIN(G129,E129*1.1)-E129)*0.035+MAX(0,G129-E129*1.1)*0.05)</x:f>
        <x:v>92.30476612903206</x:v>
      </x:c>
      <x:c r="P129" s="74" t="n">
        <x:f>N129+O129</x:f>
        <x:v>441.31121774193537</x:v>
      </x:c>
      <x:c r="Q129" s="76" t="n">
        <x:f>IF(G129&lt;=0,0,P129/G129)</x:f>
        <x:v>0.013912207399225293</x:v>
      </x:c>
    </x:row>
    <x:row r="130">
      <x:c r="A130" s="56" t="str">
        <x:v>EMP011</x:v>
      </x:c>
      <x:c r="B130" s="56" t="str">
        <x:v>Chloe Nguyen</x:v>
      </x:c>
      <x:c r="C130" s="56" t="str">
        <x:v>Senior AE</x:v>
      </x:c>
      <x:c r="D130" s="56" t="str">
        <x:v>2026-09</x:v>
      </x:c>
      <x:c r="E130" s="72" t="n">
        <x:v>138000</x:v>
      </x:c>
      <x:c r="F130" s="72" t="n">
        <x:v>152937.05000000002</x:v>
      </x:c>
      <x:c r="G130" s="72" t="n">
        <x:v>152509.79</x:v>
      </x:c>
      <x:c r="H130" s="72" t="n">
        <x:v>427.26</x:v>
      </x:c>
      <x:c r="I130" s="56" t="n">
        <x:v>0</x:v>
      </x:c>
      <x:c r="J130" s="56" t="n">
        <x:v>0</x:v>
      </x:c>
      <x:c r="K130" s="68" t="n">
        <x:f>IF(E130&lt;=0,"",G130/E130)</x:f>
        <x:v>1.1051434057971015</x:v>
      </x:c>
      <x:c r="L130" t="str">
        <x:f>IF(K130="","Not Calculated",IF(K130&lt;0.8,"Below 80%",IF(K130&lt;1,"80%-99.99%",IF(K130&lt;1.1,"100%-109.99%",IF(K130&lt;1.75,"110%-174.99%","175%+ Review")))))</x:f>
        <x:v>110%-174.99%</x:v>
      </x:c>
      <x:c r="M130" s="56" t="str">
        <x:v>Ready for Commission Calculation</x:v>
      </x:c>
      <x:c r="N130" s="74" t="n">
        <x:f>IF(E130&lt;=0,0,MIN(G130,E130*0.8)*0.01+MAX(0,MIN(G130,E130)-E130*0.8)*0.02)</x:f>
        <x:v>1656</x:v>
      </x:c>
      <x:c r="O130" s="74" t="n">
        <x:f>IF(E130&lt;=0,0,MAX(0,MIN(G130,E130*1.1)-E130)*0.035+MAX(0,G130-E130*1.1)*0.05)</x:f>
        <x:v>518.4895000000005</x:v>
      </x:c>
      <x:c r="P130" s="74" t="n">
        <x:f>N130+O130</x:f>
        <x:v>2174.4895000000006</x:v>
      </x:c>
      <x:c r="Q130" s="76" t="n">
        <x:f>IF(G130&lt;=0,0,P130/G130)</x:f>
        <x:v>0.0142580322220626</x:v>
      </x:c>
    </x:row>
    <x:row r="131">
      <x:c r="A131" s="56" t="str">
        <x:v>EMP011</x:v>
      </x:c>
      <x:c r="B131" s="56" t="str">
        <x:v>Chloe Nguyen</x:v>
      </x:c>
      <x:c r="C131" s="56" t="str">
        <x:v>Senior AE</x:v>
      </x:c>
      <x:c r="D131" s="56" t="str">
        <x:v>2026-10</x:v>
      </x:c>
      <x:c r="E131" s="72" t="n">
        <x:v>184000</x:v>
      </x:c>
      <x:c r="F131" s="72" t="n">
        <x:v>207411.15000000002</x:v>
      </x:c>
      <x:c r="G131" s="72" t="n">
        <x:v>206541.92</x:v>
      </x:c>
      <x:c r="H131" s="72" t="n">
        <x:v>869.23</x:v>
      </x:c>
      <x:c r="I131" s="56" t="n">
        <x:v>0</x:v>
      </x:c>
      <x:c r="J131" s="56" t="n">
        <x:v>0</x:v>
      </x:c>
      <x:c r="K131" s="68" t="n">
        <x:f>IF(E131&lt;=0,"",G131/E131)</x:f>
        <x:v>1.1225104347826087</x:v>
      </x:c>
      <x:c r="L131" t="str">
        <x:f>IF(K131="","Not Calculated",IF(K131&lt;0.8,"Below 80%",IF(K131&lt;1,"80%-99.99%",IF(K131&lt;1.1,"100%-109.99%",IF(K131&lt;1.75,"110%-174.99%","175%+ Review")))))</x:f>
        <x:v>110%-174.99%</x:v>
      </x:c>
      <x:c r="M131" s="56" t="str">
        <x:v>Ready for Commission Calculation</x:v>
      </x:c>
      <x:c r="N131" s="74" t="n">
        <x:f>IF(E131&lt;=0,0,MIN(G131,E131*0.8)*0.01+MAX(0,MIN(G131,E131)-E131*0.8)*0.02)</x:f>
        <x:v>2208</x:v>
      </x:c>
      <x:c r="O131" s="74" t="n">
        <x:f>IF(E131&lt;=0,0,MAX(0,MIN(G131,E131*1.1)-E131)*0.035+MAX(0,G131-E131*1.1)*0.05)</x:f>
        <x:v>851.0960000000002</x:v>
      </x:c>
      <x:c r="P131" s="74" t="n">
        <x:f>N131+O131</x:f>
        <x:v>3059.0960000000005</x:v>
      </x:c>
      <x:c r="Q131" s="76" t="n">
        <x:f>IF(G131&lt;=0,0,P131/G131)</x:f>
        <x:v>0.01481101754065228</x:v>
      </x:c>
    </x:row>
    <x:row r="132">
      <x:c r="A132" s="56" t="str">
        <x:v>EMP011</x:v>
      </x:c>
      <x:c r="B132" s="56" t="str">
        <x:v>Chloe Nguyen</x:v>
      </x:c>
      <x:c r="C132" s="56" t="str">
        <x:v>Senior AE</x:v>
      </x:c>
      <x:c r="D132" s="56" t="str">
        <x:v>2026-11</x:v>
      </x:c>
      <x:c r="E132" s="72" t="n">
        <x:v>165600</x:v>
      </x:c>
      <x:c r="F132" s="72" t="n">
        <x:v>180020.49000000005</x:v>
      </x:c>
      <x:c r="G132" s="72" t="n">
        <x:v>178958.26</x:v>
      </x:c>
      <x:c r="H132" s="72" t="n">
        <x:v>1062.23</x:v>
      </x:c>
      <x:c r="I132" s="56" t="n">
        <x:v>0</x:v>
      </x:c>
      <x:c r="J132" s="56" t="n">
        <x:v>0</x:v>
      </x:c>
      <x:c r="K132" s="68" t="n">
        <x:f>IF(E132&lt;=0,"",G132/E132)</x:f>
        <x:v>1.0806658212560387</x:v>
      </x:c>
      <x:c r="L132" t="str">
        <x:f>IF(K132="","Not Calculated",IF(K132&lt;0.8,"Below 80%",IF(K132&lt;1,"80%-99.99%",IF(K132&lt;1.1,"100%-109.99%",IF(K132&lt;1.75,"110%-174.99%","175%+ Review")))))</x:f>
        <x:v>100%-109.99%</x:v>
      </x:c>
      <x:c r="M132" s="56" t="str">
        <x:v>Ready for Commission Calculation</x:v>
      </x:c>
      <x:c r="N132" s="74" t="n">
        <x:f>IF(E132&lt;=0,0,MIN(G132,E132*0.8)*0.01+MAX(0,MIN(G132,E132)-E132*0.8)*0.02)</x:f>
        <x:v>1987.1999999999998</x:v>
      </x:c>
      <x:c r="O132" s="74" t="n">
        <x:f>IF(E132&lt;=0,0,MAX(0,MIN(G132,E132*1.1)-E132)*0.035+MAX(0,G132-E132*1.1)*0.05)</x:f>
        <x:v>467.53910000000036</x:v>
      </x:c>
      <x:c r="P132" s="74" t="n">
        <x:f>N132+O132</x:f>
        <x:v>2454.7391000000002</x:v>
      </x:c>
      <x:c r="Q132" s="76" t="n">
        <x:f>IF(G132&lt;=0,0,P132/G132)</x:f>
        <x:v>0.013716824805963134</x:v>
      </x:c>
    </x:row>
    <x:row r="133">
      <x:c r="A133" s="56" t="str">
        <x:v>EMP011</x:v>
      </x:c>
      <x:c r="B133" s="56" t="str">
        <x:v>Chloe Nguyen</x:v>
      </x:c>
      <x:c r="C133" s="56" t="str">
        <x:v>Senior AE</x:v>
      </x:c>
      <x:c r="D133" s="56" t="str">
        <x:v>2026-12</x:v>
      </x:c>
      <x:c r="E133" s="72" t="n">
        <x:v>184000</x:v>
      </x:c>
      <x:c r="F133" s="72" t="n">
        <x:v>192713.44</x:v>
      </x:c>
      <x:c r="G133" s="72" t="n">
        <x:v>192350.37</x:v>
      </x:c>
      <x:c r="H133" s="72" t="n">
        <x:v>363.07</x:v>
      </x:c>
      <x:c r="I133" s="56" t="n">
        <x:v>0</x:v>
      </x:c>
      <x:c r="J133" s="56" t="n">
        <x:v>0</x:v>
      </x:c>
      <x:c r="K133" s="68" t="n">
        <x:f>IF(E133&lt;=0,"",G133/E133)</x:f>
        <x:v>1.0453824456521739</x:v>
      </x:c>
      <x:c r="L133" t="str">
        <x:f>IF(K133="","Not Calculated",IF(K133&lt;0.8,"Below 80%",IF(K133&lt;1,"80%-99.99%",IF(K133&lt;1.1,"100%-109.99%",IF(K133&lt;1.75,"110%-174.99%","175%+ Review")))))</x:f>
        <x:v>100%-109.99%</x:v>
      </x:c>
      <x:c r="M133" s="56" t="str">
        <x:v>Ready for Commission Calculation</x:v>
      </x:c>
      <x:c r="N133" s="74" t="n">
        <x:f>IF(E133&lt;=0,0,MIN(G133,E133*0.8)*0.01+MAX(0,MIN(G133,E133)-E133*0.8)*0.02)</x:f>
        <x:v>2208</x:v>
      </x:c>
      <x:c r="O133" s="74" t="n">
        <x:f>IF(E133&lt;=0,0,MAX(0,MIN(G133,E133*1.1)-E133)*0.035+MAX(0,G133-E133*1.1)*0.05)</x:f>
        <x:v>292.2629499999999</x:v>
      </x:c>
      <x:c r="P133" s="74" t="n">
        <x:f>N133+O133</x:f>
        <x:v>2500.26295</x:v>
      </x:c>
      <x:c r="Q133" s="76" t="n">
        <x:f>IF(G133&lt;=0,0,P133/G133)</x:f>
        <x:v>0.012998482664733111</x:v>
      </x:c>
    </x:row>
    <x:row r="134">
      <x:c r="A134" s="56" t="str">
        <x:v>EMP012</x:v>
      </x:c>
      <x:c r="B134" s="56" t="str">
        <x:v>Nathan Clarke</x:v>
      </x:c>
      <x:c r="C134" s="56" t="str">
        <x:v>Senior AE</x:v>
      </x:c>
      <x:c r="D134" s="56" t="str">
        <x:v>2026-01</x:v>
      </x:c>
      <x:c r="E134" s="72" t="n">
        <x:v>130900.00000000001</x:v>
      </x:c>
      <x:c r="F134" s="72" t="n">
        <x:v>172204.22999999998</x:v>
      </x:c>
      <x:c r="G134" s="72" t="n">
        <x:v>172204.22999999998</x:v>
      </x:c>
      <x:c r="H134" s="72" t="n">
        <x:v>0</x:v>
      </x:c>
      <x:c r="I134" s="56" t="n">
        <x:v>0</x:v>
      </x:c>
      <x:c r="J134" s="56" t="n">
        <x:v>0</x:v>
      </x:c>
      <x:c r="K134" s="68" t="n">
        <x:f>IF(E134&lt;=0,"",G134/E134)</x:f>
        <x:v>1.3155403361344535</x:v>
      </x:c>
      <x:c r="L134" t="str">
        <x:f>IF(K134="","Not Calculated",IF(K134&lt;0.8,"Below 80%",IF(K134&lt;1,"80%-99.99%",IF(K134&lt;1.1,"100%-109.99%",IF(K134&lt;1.75,"110%-174.99%","175%+ Review")))))</x:f>
        <x:v>110%-174.99%</x:v>
      </x:c>
      <x:c r="M134" s="56" t="str">
        <x:v>Ready for Commission Calculation</x:v>
      </x:c>
      <x:c r="N134" s="74" t="n">
        <x:f>IF(E134&lt;=0,0,MIN(G134,E134*0.8)*0.01+MAX(0,MIN(G134,E134)-E134*0.8)*0.02)</x:f>
        <x:v>1570.8000000000002</x:v>
      </x:c>
      <x:c r="O134" s="74" t="n">
        <x:f>IF(E134&lt;=0,0,MAX(0,MIN(G134,E134*1.1)-E134)*0.035+MAX(0,G134-E134*1.1)*0.05)</x:f>
        <x:v>1868.8614999999982</x:v>
      </x:c>
      <x:c r="P134" s="74" t="n">
        <x:f>N134+O134</x:f>
        <x:v>3439.6614999999983</x:v>
      </x:c>
      <x:c r="Q134" s="76" t="n">
        <x:f>IF(G134&lt;=0,0,P134/G134)</x:f>
        <x:v>0.019974314800513312</x:v>
      </x:c>
    </x:row>
    <x:row r="135">
      <x:c r="A135" s="56" t="str">
        <x:v>EMP012</x:v>
      </x:c>
      <x:c r="B135" s="56" t="str">
        <x:v>Nathan Clarke</x:v>
      </x:c>
      <x:c r="C135" s="56" t="str">
        <x:v>Senior AE</x:v>
      </x:c>
      <x:c r="D135" s="56" t="str">
        <x:v>2026-02</x:v>
      </x:c>
      <x:c r="E135" s="72" t="n">
        <x:v>130900.00000000001</x:v>
      </x:c>
      <x:c r="F135" s="72" t="n">
        <x:v>200178.44</x:v>
      </x:c>
      <x:c r="G135" s="72" t="n">
        <x:v>199538.45</x:v>
      </x:c>
      <x:c r="H135" s="72" t="n">
        <x:v>639.99</x:v>
      </x:c>
      <x:c r="I135" s="56" t="n">
        <x:v>0</x:v>
      </x:c>
      <x:c r="J135" s="56" t="n">
        <x:v>0</x:v>
      </x:c>
      <x:c r="K135" s="68" t="n">
        <x:f>IF(E135&lt;=0,"",G135/E135)</x:f>
        <x:v>1.5243579067990831</x:v>
      </x:c>
      <x:c r="L135" t="str">
        <x:f>IF(K135="","Not Calculated",IF(K135&lt;0.8,"Below 80%",IF(K135&lt;1,"80%-99.99%",IF(K135&lt;1.1,"100%-109.99%",IF(K135&lt;1.75,"110%-174.99%","175%+ Review")))))</x:f>
        <x:v>110%-174.99%</x:v>
      </x:c>
      <x:c r="M135" s="56" t="str">
        <x:v>Ready for Commission Calculation</x:v>
      </x:c>
      <x:c r="N135" s="74" t="n">
        <x:f>IF(E135&lt;=0,0,MIN(G135,E135*0.8)*0.01+MAX(0,MIN(G135,E135)-E135*0.8)*0.02)</x:f>
        <x:v>1570.8000000000002</x:v>
      </x:c>
      <x:c r="O135" s="74" t="n">
        <x:f>IF(E135&lt;=0,0,MAX(0,MIN(G135,E135*1.1)-E135)*0.035+MAX(0,G135-E135*1.1)*0.05)</x:f>
        <x:v>3235.5724999999998</x:v>
      </x:c>
      <x:c r="P135" s="74" t="n">
        <x:f>N135+O135</x:f>
        <x:v>4806.3724999999995</x:v>
      </x:c>
      <x:c r="Q135" s="76" t="n">
        <x:f>IF(G135&lt;=0,0,P135/G135)</x:f>
        <x:v>0.024087450313460886</x:v>
      </x:c>
    </x:row>
    <x:row r="136">
      <x:c r="A136" s="56" t="str">
        <x:v>EMP012</x:v>
      </x:c>
      <x:c r="B136" s="56" t="str">
        <x:v>Nathan Clarke</x:v>
      </x:c>
      <x:c r="C136" s="56" t="str">
        <x:v>Senior AE</x:v>
      </x:c>
      <x:c r="D136" s="56" t="str">
        <x:v>2026-03</x:v>
      </x:c>
      <x:c r="E136" s="72" t="n">
        <x:v>149600</x:v>
      </x:c>
      <x:c r="F136" s="72" t="n">
        <x:v>179468.21000000005</x:v>
      </x:c>
      <x:c r="G136" s="72" t="n">
        <x:v>178055.46000000005</x:v>
      </x:c>
      <x:c r="H136" s="72" t="n">
        <x:v>1412.75</x:v>
      </x:c>
      <x:c r="I136" s="56" t="n">
        <x:v>0</x:v>
      </x:c>
      <x:c r="J136" s="56" t="n">
        <x:v>0</x:v>
      </x:c>
      <x:c r="K136" s="68" t="n">
        <x:f>IF(E136&lt;=0,"",G136/E136)</x:f>
        <x:v>1.1902102941176473</x:v>
      </x:c>
      <x:c r="L136" t="str">
        <x:f>IF(K136="","Not Calculated",IF(K136&lt;0.8,"Below 80%",IF(K136&lt;1,"80%-99.99%",IF(K136&lt;1.1,"100%-109.99%",IF(K136&lt;1.75,"110%-174.99%","175%+ Review")))))</x:f>
        <x:v>110%-174.99%</x:v>
      </x:c>
      <x:c r="M136" s="56" t="str">
        <x:v>Ready for Commission Calculation</x:v>
      </x:c>
      <x:c r="N136" s="74" t="n">
        <x:f>IF(E136&lt;=0,0,MIN(G136,E136*0.8)*0.01+MAX(0,MIN(G136,E136)-E136*0.8)*0.02)</x:f>
        <x:v>1795.1999999999998</x:v>
      </x:c>
      <x:c r="O136" s="74" t="n">
        <x:f>IF(E136&lt;=0,0,MAX(0,MIN(G136,E136*1.1)-E136)*0.035+MAX(0,G136-E136*1.1)*0.05)</x:f>
        <x:v>1198.3730000000025</x:v>
      </x:c>
      <x:c r="P136" s="74" t="n">
        <x:f>N136+O136</x:f>
        <x:v>2993.573000000002</x:v>
      </x:c>
      <x:c r="Q136" s="76" t="n">
        <x:f>IF(G136&lt;=0,0,P136/G136)</x:f>
        <x:v>0.01681258749380671</x:v>
      </x:c>
    </x:row>
    <x:row r="137">
      <x:c r="A137" s="56" t="str">
        <x:v>EMP012</x:v>
      </x:c>
      <x:c r="B137" s="56" t="str">
        <x:v>Nathan Clarke</x:v>
      </x:c>
      <x:c r="C137" s="56" t="str">
        <x:v>Senior AE</x:v>
      </x:c>
      <x:c r="D137" s="56" t="str">
        <x:v>2026-04</x:v>
      </x:c>
      <x:c r="E137" s="72" t="n">
        <x:v>149600</x:v>
      </x:c>
      <x:c r="F137" s="72" t="n">
        <x:v>199765.40999999997</x:v>
      </x:c>
      <x:c r="G137" s="72" t="n">
        <x:v>197053.91999999998</x:v>
      </x:c>
      <x:c r="H137" s="72" t="n">
        <x:v>2711.49</x:v>
      </x:c>
      <x:c r="I137" s="56" t="n">
        <x:v>0</x:v>
      </x:c>
      <x:c r="J137" s="56" t="n">
        <x:v>0</x:v>
      </x:c>
      <x:c r="K137" s="68" t="n">
        <x:f>IF(E137&lt;=0,"",G137/E137)</x:f>
        <x:v>1.3172053475935828</x:v>
      </x:c>
      <x:c r="L137" t="str">
        <x:f>IF(K137="","Not Calculated",IF(K137&lt;0.8,"Below 80%",IF(K137&lt;1,"80%-99.99%",IF(K137&lt;1.1,"100%-109.99%",IF(K137&lt;1.75,"110%-174.99%","175%+ Review")))))</x:f>
        <x:v>110%-174.99%</x:v>
      </x:c>
      <x:c r="M137" s="56" t="str">
        <x:v>Ready for Commission Calculation</x:v>
      </x:c>
      <x:c r="N137" s="74" t="n">
        <x:f>IF(E137&lt;=0,0,MIN(G137,E137*0.8)*0.01+MAX(0,MIN(G137,E137)-E137*0.8)*0.02)</x:f>
        <x:v>1795.1999999999998</x:v>
      </x:c>
      <x:c r="O137" s="74" t="n">
        <x:f>IF(E137&lt;=0,0,MAX(0,MIN(G137,E137*1.1)-E137)*0.035+MAX(0,G137-E137*1.1)*0.05)</x:f>
        <x:v>2148.2959999999994</x:v>
      </x:c>
      <x:c r="P137" s="74" t="n">
        <x:f>N137+O137</x:f>
        <x:v>3943.495999999999</x:v>
      </x:c>
      <x:c r="Q137" s="76" t="n">
        <x:f>IF(G137&lt;=0,0,P137/G137)</x:f>
        <x:v>0.020012268723200225</x:v>
      </x:c>
    </x:row>
    <x:row r="138">
      <x:c r="A138" s="56" t="str">
        <x:v>EMP012</x:v>
      </x:c>
      <x:c r="B138" s="56" t="str">
        <x:v>Nathan Clarke</x:v>
      </x:c>
      <x:c r="C138" s="56" t="str">
        <x:v>Senior AE</x:v>
      </x:c>
      <x:c r="D138" s="56" t="str">
        <x:v>2026-05</x:v>
      </x:c>
      <x:c r="E138" s="72" t="n">
        <x:v>149600</x:v>
      </x:c>
      <x:c r="F138" s="72" t="n">
        <x:v>205942.43000000002</x:v>
      </x:c>
      <x:c r="G138" s="72" t="n">
        <x:v>205485.41000000003</x:v>
      </x:c>
      <x:c r="H138" s="72" t="n">
        <x:v>457.02</x:v>
      </x:c>
      <x:c r="I138" s="56" t="n">
        <x:v>0</x:v>
      </x:c>
      <x:c r="J138" s="56" t="n">
        <x:v>0</x:v>
      </x:c>
      <x:c r="K138" s="68" t="n">
        <x:f>IF(E138&lt;=0,"",G138/E138)</x:f>
        <x:v>1.3735655748663105</x:v>
      </x:c>
      <x:c r="L138" t="str">
        <x:f>IF(K138="","Not Calculated",IF(K138&lt;0.8,"Below 80%",IF(K138&lt;1,"80%-99.99%",IF(K138&lt;1.1,"100%-109.99%",IF(K138&lt;1.75,"110%-174.99%","175%+ Review")))))</x:f>
        <x:v>110%-174.99%</x:v>
      </x:c>
      <x:c r="M138" s="56" t="str">
        <x:v>Ready for Commission Calculation</x:v>
      </x:c>
      <x:c r="N138" s="74" t="n">
        <x:f>IF(E138&lt;=0,0,MIN(G138,E138*0.8)*0.01+MAX(0,MIN(G138,E138)-E138*0.8)*0.02)</x:f>
        <x:v>1795.1999999999998</x:v>
      </x:c>
      <x:c r="O138" s="74" t="n">
        <x:f>IF(E138&lt;=0,0,MAX(0,MIN(G138,E138*1.1)-E138)*0.035+MAX(0,G138-E138*1.1)*0.05)</x:f>
        <x:v>2569.870500000002</x:v>
      </x:c>
      <x:c r="P138" s="74" t="n">
        <x:f>N138+O138</x:f>
        <x:v>4365.070500000002</x:v>
      </x:c>
      <x:c r="Q138" s="76" t="n">
        <x:f>IF(G138&lt;=0,0,P138/G138)</x:f>
        <x:v>0.02124272716004509</x:v>
      </x:c>
    </x:row>
    <x:row r="139">
      <x:c r="A139" s="56" t="str">
        <x:v>EMP012</x:v>
      </x:c>
      <x:c r="B139" s="56" t="str">
        <x:v>Nathan Clarke</x:v>
      </x:c>
      <x:c r="C139" s="56" t="str">
        <x:v>Senior AE</x:v>
      </x:c>
      <x:c r="D139" s="56" t="str">
        <x:v>2026-06</x:v>
      </x:c>
      <x:c r="E139" s="72" t="n">
        <x:v>168300</x:v>
      </x:c>
      <x:c r="F139" s="72" t="n">
        <x:v>264701.17000000004</x:v>
      </x:c>
      <x:c r="G139" s="72" t="n">
        <x:v>263196.87000000005</x:v>
      </x:c>
      <x:c r="H139" s="72" t="n">
        <x:v>1504.3</x:v>
      </x:c>
      <x:c r="I139" s="56" t="n">
        <x:v>0</x:v>
      </x:c>
      <x:c r="J139" s="56" t="n">
        <x:v>0</x:v>
      </x:c>
      <x:c r="K139" s="68" t="n">
        <x:f>IF(E139&lt;=0,"",G139/E139)</x:f>
        <x:v>1.563855436720143</x:v>
      </x:c>
      <x:c r="L139" t="str">
        <x:f>IF(K139="","Not Calculated",IF(K139&lt;0.8,"Below 80%",IF(K139&lt;1,"80%-99.99%",IF(K139&lt;1.1,"100%-109.99%",IF(K139&lt;1.75,"110%-174.99%","175%+ Review")))))</x:f>
        <x:v>110%-174.99%</x:v>
      </x:c>
      <x:c r="M139" s="56" t="str">
        <x:v>Ready for Commission Calculation</x:v>
      </x:c>
      <x:c r="N139" s="74" t="n">
        <x:f>IF(E139&lt;=0,0,MIN(G139,E139*0.8)*0.01+MAX(0,MIN(G139,E139)-E139*0.8)*0.02)</x:f>
        <x:v>2019.6000000000001</x:v>
      </x:c>
      <x:c r="O139" s="74" t="n">
        <x:f>IF(E139&lt;=0,0,MAX(0,MIN(G139,E139*1.1)-E139)*0.035+MAX(0,G139-E139*1.1)*0.05)</x:f>
        <x:v>4492.393500000002</x:v>
      </x:c>
      <x:c r="P139" s="74" t="n">
        <x:f>N139+O139</x:f>
        <x:v>6511.993500000002</x:v>
      </x:c>
      <x:c r="Q139" s="76" t="n">
        <x:f>IF(G139&lt;=0,0,P139/G139)</x:f>
        <x:v>0.024741910874548016</x:v>
      </x:c>
    </x:row>
    <x:row r="140">
      <x:c r="A140" s="56" t="str">
        <x:v>EMP012</x:v>
      </x:c>
      <x:c r="B140" s="56" t="str">
        <x:v>Nathan Clarke</x:v>
      </x:c>
      <x:c r="C140" s="56" t="str">
        <x:v>Senior AE</x:v>
      </x:c>
      <x:c r="D140" s="56" t="str">
        <x:v>2026-07</x:v>
      </x:c>
      <x:c r="E140" s="72" t="n">
        <x:v>130900.00000000001</x:v>
      </x:c>
      <x:c r="F140" s="72" t="n">
        <x:v>157199.65999999997</x:v>
      </x:c>
      <x:c r="G140" s="72" t="n">
        <x:v>157199.65999999997</x:v>
      </x:c>
      <x:c r="H140" s="72" t="n">
        <x:v>0</x:v>
      </x:c>
      <x:c r="I140" s="56" t="n">
        <x:v>0</x:v>
      </x:c>
      <x:c r="J140" s="56" t="n">
        <x:v>0</x:v>
      </x:c>
      <x:c r="K140" s="68" t="n">
        <x:f>IF(E140&lt;=0,"",G140/E140)</x:f>
        <x:v>1.2009141329258972</x:v>
      </x:c>
      <x:c r="L140" t="str">
        <x:f>IF(K140="","Not Calculated",IF(K140&lt;0.8,"Below 80%",IF(K140&lt;1,"80%-99.99%",IF(K140&lt;1.1,"100%-109.99%",IF(K140&lt;1.75,"110%-174.99%","175%+ Review")))))</x:f>
        <x:v>110%-174.99%</x:v>
      </x:c>
      <x:c r="M140" s="56" t="str">
        <x:v>Ready for Commission Calculation</x:v>
      </x:c>
      <x:c r="N140" s="74" t="n">
        <x:f>IF(E140&lt;=0,0,MIN(G140,E140*0.8)*0.01+MAX(0,MIN(G140,E140)-E140*0.8)*0.02)</x:f>
        <x:v>1570.8000000000002</x:v>
      </x:c>
      <x:c r="O140" s="74" t="n">
        <x:f>IF(E140&lt;=0,0,MAX(0,MIN(G140,E140*1.1)-E140)*0.035+MAX(0,G140-E140*1.1)*0.05)</x:f>
        <x:v>1118.632999999998</x:v>
      </x:c>
      <x:c r="P140" s="74" t="n">
        <x:f>N140+O140</x:f>
        <x:v>2689.432999999998</x:v>
      </x:c>
      <x:c r="Q140" s="76" t="n">
        <x:f>IF(G140&lt;=0,0,P140/G140)</x:f>
        <x:v>0.01710838942018067</x:v>
      </x:c>
    </x:row>
    <x:row r="141">
      <x:c r="A141" s="56" t="str">
        <x:v>EMP012</x:v>
      </x:c>
      <x:c r="B141" s="56" t="str">
        <x:v>Nathan Clarke</x:v>
      </x:c>
      <x:c r="C141" s="56" t="str">
        <x:v>Senior AE</x:v>
      </x:c>
      <x:c r="D141" s="56" t="str">
        <x:v>2026-08</x:v>
      </x:c>
      <x:c r="E141" s="72" t="n">
        <x:v>130900.00000000001</x:v>
      </x:c>
      <x:c r="F141" s="72" t="n">
        <x:v>193690.68</x:v>
      </x:c>
      <x:c r="G141" s="72" t="n">
        <x:v>184304.02000000002</x:v>
      </x:c>
      <x:c r="H141" s="72" t="n">
        <x:v>9386.66</x:v>
      </x:c>
      <x:c r="I141" s="56" t="n">
        <x:v>0</x:v>
      </x:c>
      <x:c r="J141" s="56" t="n">
        <x:v>0</x:v>
      </x:c>
      <x:c r="K141" s="68" t="n">
        <x:f>IF(E141&lt;=0,"",G141/E141)</x:f>
        <x:v>1.4079757066462948</x:v>
      </x:c>
      <x:c r="L141" t="str">
        <x:f>IF(K141="","Not Calculated",IF(K141&lt;0.8,"Below 80%",IF(K141&lt;1,"80%-99.99%",IF(K141&lt;1.1,"100%-109.99%",IF(K141&lt;1.75,"110%-174.99%","175%+ Review")))))</x:f>
        <x:v>110%-174.99%</x:v>
      </x:c>
      <x:c r="M141" s="56" t="str">
        <x:v>Ready for Commission Calculation</x:v>
      </x:c>
      <x:c r="N141" s="74" t="n">
        <x:f>IF(E141&lt;=0,0,MIN(G141,E141*0.8)*0.01+MAX(0,MIN(G141,E141)-E141*0.8)*0.02)</x:f>
        <x:v>1570.8000000000002</x:v>
      </x:c>
      <x:c r="O141" s="74" t="n">
        <x:f>IF(E141&lt;=0,0,MAX(0,MIN(G141,E141*1.1)-E141)*0.035+MAX(0,G141-E141*1.1)*0.05)</x:f>
        <x:v>2473.851</x:v>
      </x:c>
      <x:c r="P141" s="74" t="n">
        <x:f>N141+O141</x:f>
        <x:v>4044.6510000000003</x:v>
      </x:c>
      <x:c r="Q141" s="76" t="n">
        <x:f>IF(G141&lt;=0,0,P141/G141)</x:f>
        <x:v>0.021945538681142168</x:v>
      </x:c>
    </x:row>
    <x:row r="142">
      <x:c r="A142" s="56" t="str">
        <x:v>EMP012</x:v>
      </x:c>
      <x:c r="B142" s="56" t="str">
        <x:v>Nathan Clarke</x:v>
      </x:c>
      <x:c r="C142" s="56" t="str">
        <x:v>Senior AE</x:v>
      </x:c>
      <x:c r="D142" s="56" t="str">
        <x:v>2026-09</x:v>
      </x:c>
      <x:c r="E142" s="72" t="n">
        <x:v>187000</x:v>
      </x:c>
      <x:c r="F142" s="72" t="n">
        <x:v>261425.33</x:v>
      </x:c>
      <x:c r="G142" s="72" t="n">
        <x:v>261332.15</x:v>
      </x:c>
      <x:c r="H142" s="72" t="n">
        <x:v>93.18</x:v>
      </x:c>
      <x:c r="I142" s="56" t="n">
        <x:v>0</x:v>
      </x:c>
      <x:c r="J142" s="56" t="n">
        <x:v>0</x:v>
      </x:c>
      <x:c r="K142" s="68" t="n">
        <x:f>IF(E142&lt;=0,"",G142/E142)</x:f>
        <x:v>1.3974981283422458</x:v>
      </x:c>
      <x:c r="L142" t="str">
        <x:f>IF(K142="","Not Calculated",IF(K142&lt;0.8,"Below 80%",IF(K142&lt;1,"80%-99.99%",IF(K142&lt;1.1,"100%-109.99%",IF(K142&lt;1.75,"110%-174.99%","175%+ Review")))))</x:f>
        <x:v>110%-174.99%</x:v>
      </x:c>
      <x:c r="M142" s="56" t="str">
        <x:v>Ready for Commission Calculation</x:v>
      </x:c>
      <x:c r="N142" s="74" t="n">
        <x:f>IF(E142&lt;=0,0,MIN(G142,E142*0.8)*0.01+MAX(0,MIN(G142,E142)-E142*0.8)*0.02)</x:f>
        <x:v>2244</x:v>
      </x:c>
      <x:c r="O142" s="74" t="n">
        <x:f>IF(E142&lt;=0,0,MAX(0,MIN(G142,E142*1.1)-E142)*0.035+MAX(0,G142-E142*1.1)*0.05)</x:f>
        <x:v>3436.107499999999</x:v>
      </x:c>
      <x:c r="P142" s="74" t="n">
        <x:f>N142+O142</x:f>
        <x:v>5680.107499999999</x:v>
      </x:c>
      <x:c r="Q142" s="76" t="n">
        <x:f>IF(G142&lt;=0,0,P142/G142)</x:f>
        <x:v>0.021735203647924677</x:v>
      </x:c>
    </x:row>
    <x:row r="143">
      <x:c r="A143" s="56" t="str">
        <x:v>EMP012</x:v>
      </x:c>
      <x:c r="B143" s="56" t="str">
        <x:v>Nathan Clarke</x:v>
      </x:c>
      <x:c r="C143" s="56" t="str">
        <x:v>Senior AE</x:v>
      </x:c>
      <x:c r="D143" s="56" t="str">
        <x:v>2026-10</x:v>
      </x:c>
      <x:c r="E143" s="72" t="n">
        <x:v>187000</x:v>
      </x:c>
      <x:c r="F143" s="72" t="n">
        <x:v>259017.71000000002</x:v>
      </x:c>
      <x:c r="G143" s="72" t="n">
        <x:v>258937.64</x:v>
      </x:c>
      <x:c r="H143" s="72" t="n">
        <x:v>80.07</x:v>
      </x:c>
      <x:c r="I143" s="56" t="n">
        <x:v>0</x:v>
      </x:c>
      <x:c r="J143" s="56" t="n">
        <x:v>0</x:v>
      </x:c>
      <x:c r="K143" s="68" t="n">
        <x:f>IF(E143&lt;=0,"",G143/E143)</x:f>
        <x:v>1.3846932620320855</x:v>
      </x:c>
      <x:c r="L143" t="str">
        <x:f>IF(K143="","Not Calculated",IF(K143&lt;0.8,"Below 80%",IF(K143&lt;1,"80%-99.99%",IF(K143&lt;1.1,"100%-109.99%",IF(K143&lt;1.75,"110%-174.99%","175%+ Review")))))</x:f>
        <x:v>110%-174.99%</x:v>
      </x:c>
      <x:c r="M143" s="56" t="str">
        <x:v>Ready for Commission Calculation</x:v>
      </x:c>
      <x:c r="N143" s="74" t="n">
        <x:f>IF(E143&lt;=0,0,MIN(G143,E143*0.8)*0.01+MAX(0,MIN(G143,E143)-E143*0.8)*0.02)</x:f>
        <x:v>2244</x:v>
      </x:c>
      <x:c r="O143" s="74" t="n">
        <x:f>IF(E143&lt;=0,0,MAX(0,MIN(G143,E143*1.1)-E143)*0.035+MAX(0,G143-E143*1.1)*0.05)</x:f>
        <x:v>3316.3820000000005</x:v>
      </x:c>
      <x:c r="P143" s="74" t="n">
        <x:f>N143+O143</x:f>
        <x:v>5560.3820000000005</x:v>
      </x:c>
      <x:c r="Q143" s="76" t="n">
        <x:f>IF(G143&lt;=0,0,P143/G143)</x:f>
        <x:v>0.021473826671162988</x:v>
      </x:c>
    </x:row>
    <x:row r="144">
      <x:c r="A144" s="56" t="str">
        <x:v>EMP012</x:v>
      </x:c>
      <x:c r="B144" s="56" t="str">
        <x:v>Nathan Clarke</x:v>
      </x:c>
      <x:c r="C144" s="56" t="str">
        <x:v>Senior AE</x:v>
      </x:c>
      <x:c r="D144" s="56" t="str">
        <x:v>2026-11</x:v>
      </x:c>
      <x:c r="E144" s="72" t="n">
        <x:v>168300</x:v>
      </x:c>
      <x:c r="F144" s="72" t="n">
        <x:v>226215.27000000005</x:v>
      </x:c>
      <x:c r="G144" s="72" t="n">
        <x:v>225685.82000000004</x:v>
      </x:c>
      <x:c r="H144" s="72" t="n">
        <x:v>529.45</x:v>
      </x:c>
      <x:c r="I144" s="56" t="n">
        <x:v>0</x:v>
      </x:c>
      <x:c r="J144" s="56" t="n">
        <x:v>0</x:v>
      </x:c>
      <x:c r="K144" s="68" t="n">
        <x:f>IF(E144&lt;=0,"",G144/E144)</x:f>
        <x:v>1.3409733808674986</x:v>
      </x:c>
      <x:c r="L144" t="str">
        <x:f>IF(K144="","Not Calculated",IF(K144&lt;0.8,"Below 80%",IF(K144&lt;1,"80%-99.99%",IF(K144&lt;1.1,"100%-109.99%",IF(K144&lt;1.75,"110%-174.99%","175%+ Review")))))</x:f>
        <x:v>110%-174.99%</x:v>
      </x:c>
      <x:c r="M144" s="56" t="str">
        <x:v>Ready for Commission Calculation</x:v>
      </x:c>
      <x:c r="N144" s="74" t="n">
        <x:f>IF(E144&lt;=0,0,MIN(G144,E144*0.8)*0.01+MAX(0,MIN(G144,E144)-E144*0.8)*0.02)</x:f>
        <x:v>2019.6000000000001</x:v>
      </x:c>
      <x:c r="O144" s="74" t="n">
        <x:f>IF(E144&lt;=0,0,MAX(0,MIN(G144,E144*1.1)-E144)*0.035+MAX(0,G144-E144*1.1)*0.05)</x:f>
        <x:v>2616.8410000000013</x:v>
      </x:c>
      <x:c r="P144" s="74" t="n">
        <x:f>N144+O144</x:f>
        <x:v>4636.441000000002</x:v>
      </x:c>
      <x:c r="Q144" s="76" t="n">
        <x:f>IF(G144&lt;=0,0,P144/G144)</x:f>
        <x:v>0.020543785161158998</x:v>
      </x:c>
    </x:row>
    <x:row r="145">
      <x:c r="A145" s="56" t="str">
        <x:v>EMP012</x:v>
      </x:c>
      <x:c r="B145" s="56" t="str">
        <x:v>Nathan Clarke</x:v>
      </x:c>
      <x:c r="C145" s="56" t="str">
        <x:v>Senior AE</x:v>
      </x:c>
      <x:c r="D145" s="56" t="str">
        <x:v>2026-12</x:v>
      </x:c>
      <x:c r="E145" s="72" t="n">
        <x:v>187000</x:v>
      </x:c>
      <x:c r="F145" s="72" t="n">
        <x:v>240685.77</x:v>
      </x:c>
      <x:c r="G145" s="72" t="n">
        <x:v>240476.21</x:v>
      </x:c>
      <x:c r="H145" s="72" t="n">
        <x:v>209.56</x:v>
      </x:c>
      <x:c r="I145" s="56" t="n">
        <x:v>0</x:v>
      </x:c>
      <x:c r="J145" s="56" t="n">
        <x:v>0</x:v>
      </x:c>
      <x:c r="K145" s="68" t="n">
        <x:f>IF(E145&lt;=0,"",G145/E145)</x:f>
        <x:v>1.285969037433155</x:v>
      </x:c>
      <x:c r="L145" t="str">
        <x:f>IF(K145="","Not Calculated",IF(K145&lt;0.8,"Below 80%",IF(K145&lt;1,"80%-99.99%",IF(K145&lt;1.1,"100%-109.99%",IF(K145&lt;1.75,"110%-174.99%","175%+ Review")))))</x:f>
        <x:v>110%-174.99%</x:v>
      </x:c>
      <x:c r="M145" s="56" t="str">
        <x:v>Ready for Commission Calculation</x:v>
      </x:c>
      <x:c r="N145" s="74" t="n">
        <x:f>IF(E145&lt;=0,0,MIN(G145,E145*0.8)*0.01+MAX(0,MIN(G145,E145)-E145*0.8)*0.02)</x:f>
        <x:v>2244</x:v>
      </x:c>
      <x:c r="O145" s="74" t="n">
        <x:f>IF(E145&lt;=0,0,MAX(0,MIN(G145,E145*1.1)-E145)*0.035+MAX(0,G145-E145*1.1)*0.05)</x:f>
        <x:v>2393.3104999999996</x:v>
      </x:c>
      <x:c r="P145" s="74" t="n">
        <x:f>N145+O145</x:f>
        <x:v>4637.3105</x:v>
      </x:c>
      <x:c r="Q145" s="76" t="n">
        <x:f>IF(G145&lt;=0,0,P145/G145)</x:f>
        <x:v>0.01928386387992392</x:v>
      </x:c>
    </x:row>
    <x:row r="146">
      <x:c r="A146" s="56" t="str">
        <x:v>EMP013</x:v>
      </x:c>
      <x:c r="B146" s="56" t="str">
        <x:v>Camille Bouchard</x:v>
      </x:c>
      <x:c r="C146" s="56" t="str">
        <x:v>AE I</x:v>
      </x:c>
      <x:c r="D146" s="56" t="str">
        <x:v>2026-01</x:v>
      </x:c>
      <x:c r="E146" s="72" t="n">
        <x:v>70000</x:v>
      </x:c>
      <x:c r="F146" s="72" t="n">
        <x:v>62941.899999999994</x:v>
      </x:c>
      <x:c r="G146" s="72" t="n">
        <x:v>61636.75</x:v>
      </x:c>
      <x:c r="H146" s="72" t="n">
        <x:v>1305.15</x:v>
      </x:c>
      <x:c r="I146" s="56" t="n">
        <x:v>0</x:v>
      </x:c>
      <x:c r="J146" s="56" t="n">
        <x:v>0</x:v>
      </x:c>
      <x:c r="K146" s="68" t="n">
        <x:f>IF(E146&lt;=0,"",G146/E146)</x:f>
        <x:v>0.880525</x:v>
      </x:c>
      <x:c r="L146" t="str">
        <x:f>IF(K146="","Not Calculated",IF(K146&lt;0.8,"Below 80%",IF(K146&lt;1,"80%-99.99%",IF(K146&lt;1.1,"100%-109.99%",IF(K146&lt;1.75,"110%-174.99%","175%+ Review")))))</x:f>
        <x:v>80%-99.99%</x:v>
      </x:c>
      <x:c r="M146" s="56" t="str">
        <x:v>Ready for Commission Calculation</x:v>
      </x:c>
      <x:c r="N146" s="74" t="n">
        <x:f>IF(E146&lt;=0,0,MIN(G146,E146*0.8)*0.01+MAX(0,MIN(G146,E146)-E146*0.8)*0.02)</x:f>
        <x:v>672.735</x:v>
      </x:c>
      <x:c r="O146" s="74" t="n">
        <x:f>IF(E146&lt;=0,0,MAX(0,MIN(G146,E146*1.1)-E146)*0.035+MAX(0,G146-E146*1.1)*0.05)</x:f>
        <x:v>0</x:v>
      </x:c>
      <x:c r="P146" s="74" t="n">
        <x:f>N146+O146</x:f>
        <x:v>672.735</x:v>
      </x:c>
      <x:c r="Q146" s="76" t="n">
        <x:f>IF(G146&lt;=0,0,P146/G146)</x:f>
        <x:v>0.010914511229096278</x:v>
      </x:c>
    </x:row>
    <x:row r="147">
      <x:c r="A147" s="56" t="str">
        <x:v>EMP013</x:v>
      </x:c>
      <x:c r="B147" s="56" t="str">
        <x:v>Camille Bouchard</x:v>
      </x:c>
      <x:c r="C147" s="56" t="str">
        <x:v>AE I</x:v>
      </x:c>
      <x:c r="D147" s="56" t="str">
        <x:v>2026-02</x:v>
      </x:c>
      <x:c r="E147" s="72" t="n">
        <x:v>70000</x:v>
      </x:c>
      <x:c r="F147" s="72" t="n">
        <x:v>73775.22</x:v>
      </x:c>
      <x:c r="G147" s="72" t="n">
        <x:v>73775.22</x:v>
      </x:c>
      <x:c r="H147" s="72" t="n">
        <x:v>0</x:v>
      </x:c>
      <x:c r="I147" s="56" t="n">
        <x:v>0</x:v>
      </x:c>
      <x:c r="J147" s="56" t="n">
        <x:v>0</x:v>
      </x:c>
      <x:c r="K147" s="68" t="n">
        <x:f>IF(E147&lt;=0,"",G147/E147)</x:f>
        <x:v>1.0539317142857143</x:v>
      </x:c>
      <x:c r="L147" t="str">
        <x:f>IF(K147="","Not Calculated",IF(K147&lt;0.8,"Below 80%",IF(K147&lt;1,"80%-99.99%",IF(K147&lt;1.1,"100%-109.99%",IF(K147&lt;1.75,"110%-174.99%","175%+ Review")))))</x:f>
        <x:v>100%-109.99%</x:v>
      </x:c>
      <x:c r="M147" s="56" t="str">
        <x:v>Ready for Commission Calculation</x:v>
      </x:c>
      <x:c r="N147" s="74" t="n">
        <x:f>IF(E147&lt;=0,0,MIN(G147,E147*0.8)*0.01+MAX(0,MIN(G147,E147)-E147*0.8)*0.02)</x:f>
        <x:v>840</x:v>
      </x:c>
      <x:c r="O147" s="74" t="n">
        <x:f>IF(E147&lt;=0,0,MAX(0,MIN(G147,E147*1.1)-E147)*0.035+MAX(0,G147-E147*1.1)*0.05)</x:f>
        <x:v>132.13270000000006</x:v>
      </x:c>
      <x:c r="P147" s="74" t="n">
        <x:f>N147+O147</x:f>
        <x:v>972.1327000000001</x:v>
      </x:c>
      <x:c r="Q147" s="76" t="n">
        <x:f>IF(G147&lt;=0,0,P147/G147)</x:f>
        <x:v>0.013176954267300051</x:v>
      </x:c>
    </x:row>
    <x:row r="148">
      <x:c r="A148" s="56" t="str">
        <x:v>EMP013</x:v>
      </x:c>
      <x:c r="B148" s="56" t="str">
        <x:v>Camille Bouchard</x:v>
      </x:c>
      <x:c r="C148" s="56" t="str">
        <x:v>AE I</x:v>
      </x:c>
      <x:c r="D148" s="56" t="str">
        <x:v>2026-03</x:v>
      </x:c>
      <x:c r="E148" s="72" t="n">
        <x:v>80000</x:v>
      </x:c>
      <x:c r="F148" s="72" t="n">
        <x:v>75006.88</x:v>
      </x:c>
      <x:c r="G148" s="72" t="n">
        <x:v>74243.93000000001</x:v>
      </x:c>
      <x:c r="H148" s="72" t="n">
        <x:v>762.95</x:v>
      </x:c>
      <x:c r="I148" s="56" t="n">
        <x:v>0</x:v>
      </x:c>
      <x:c r="J148" s="56" t="n">
        <x:v>0</x:v>
      </x:c>
      <x:c r="K148" s="68" t="n">
        <x:f>IF(E148&lt;=0,"",G148/E148)</x:f>
        <x:v>0.9280491250000001</x:v>
      </x:c>
      <x:c r="L148" t="str">
        <x:f>IF(K148="","Not Calculated",IF(K148&lt;0.8,"Below 80%",IF(K148&lt;1,"80%-99.99%",IF(K148&lt;1.1,"100%-109.99%",IF(K148&lt;1.75,"110%-174.99%","175%+ Review")))))</x:f>
        <x:v>80%-99.99%</x:v>
      </x:c>
      <x:c r="M148" s="56" t="str">
        <x:v>Ready for Commission Calculation</x:v>
      </x:c>
      <x:c r="N148" s="74" t="n">
        <x:f>IF(E148&lt;=0,0,MIN(G148,E148*0.8)*0.01+MAX(0,MIN(G148,E148)-E148*0.8)*0.02)</x:f>
        <x:v>844.8786000000001</x:v>
      </x:c>
      <x:c r="O148" s="74" t="n">
        <x:f>IF(E148&lt;=0,0,MAX(0,MIN(G148,E148*1.1)-E148)*0.035+MAX(0,G148-E148*1.1)*0.05)</x:f>
        <x:v>0</x:v>
      </x:c>
      <x:c r="P148" s="74" t="n">
        <x:f>N148+O148</x:f>
        <x:v>844.8786000000001</x:v>
      </x:c>
      <x:c r="Q148" s="76" t="n">
        <x:f>IF(G148&lt;=0,0,P148/G148)</x:f>
        <x:v>0.011379766669140494</x:v>
      </x:c>
    </x:row>
    <x:row r="149">
      <x:c r="A149" s="56" t="str">
        <x:v>EMP013</x:v>
      </x:c>
      <x:c r="B149" s="56" t="str">
        <x:v>Camille Bouchard</x:v>
      </x:c>
      <x:c r="C149" s="56" t="str">
        <x:v>AE I</x:v>
      </x:c>
      <x:c r="D149" s="56" t="str">
        <x:v>2026-04</x:v>
      </x:c>
      <x:c r="E149" s="72" t="n">
        <x:v>80000</x:v>
      </x:c>
      <x:c r="F149" s="72" t="n">
        <x:v>85374.43</x:v>
      </x:c>
      <x:c r="G149" s="72" t="n">
        <x:v>85374.43</x:v>
      </x:c>
      <x:c r="H149" s="72" t="n">
        <x:v>0</x:v>
      </x:c>
      <x:c r="I149" s="56" t="n">
        <x:v>0</x:v>
      </x:c>
      <x:c r="J149" s="56" t="n">
        <x:v>0</x:v>
      </x:c>
      <x:c r="K149" s="68" t="n">
        <x:f>IF(E149&lt;=0,"",G149/E149)</x:f>
        <x:v>1.067180375</x:v>
      </x:c>
      <x:c r="L149" t="str">
        <x:f>IF(K149="","Not Calculated",IF(K149&lt;0.8,"Below 80%",IF(K149&lt;1,"80%-99.99%",IF(K149&lt;1.1,"100%-109.99%",IF(K149&lt;1.75,"110%-174.99%","175%+ Review")))))</x:f>
        <x:v>100%-109.99%</x:v>
      </x:c>
      <x:c r="M149" s="56" t="str">
        <x:v>Ready for Commission Calculation</x:v>
      </x:c>
      <x:c r="N149" s="74" t="n">
        <x:f>IF(E149&lt;=0,0,MIN(G149,E149*0.8)*0.01+MAX(0,MIN(G149,E149)-E149*0.8)*0.02)</x:f>
        <x:v>960</x:v>
      </x:c>
      <x:c r="O149" s="74" t="n">
        <x:f>IF(E149&lt;=0,0,MAX(0,MIN(G149,E149*1.1)-E149)*0.035+MAX(0,G149-E149*1.1)*0.05)</x:f>
        <x:v>188.10504999999978</x:v>
      </x:c>
      <x:c r="P149" s="74" t="n">
        <x:f>N149+O149</x:f>
        <x:v>1148.1050499999997</x:v>
      </x:c>
      <x:c r="Q149" s="76" t="n">
        <x:f>IF(G149&lt;=0,0,P149/G149)</x:f>
        <x:v>0.013447879534891181</x:v>
      </x:c>
    </x:row>
    <x:row r="150">
      <x:c r="A150" s="56" t="str">
        <x:v>EMP013</x:v>
      </x:c>
      <x:c r="B150" s="56" t="str">
        <x:v>Camille Bouchard</x:v>
      </x:c>
      <x:c r="C150" s="56" t="str">
        <x:v>AE I</x:v>
      </x:c>
      <x:c r="D150" s="56" t="str">
        <x:v>2026-05</x:v>
      </x:c>
      <x:c r="E150" s="72" t="n">
        <x:v>80000</x:v>
      </x:c>
      <x:c r="F150" s="72" t="n">
        <x:v>82548.20000000001</x:v>
      </x:c>
      <x:c r="G150" s="72" t="n">
        <x:v>82179.47</x:v>
      </x:c>
      <x:c r="H150" s="72" t="n">
        <x:v>368.73</x:v>
      </x:c>
      <x:c r="I150" s="56" t="n">
        <x:v>0</x:v>
      </x:c>
      <x:c r="J150" s="56" t="n">
        <x:v>0</x:v>
      </x:c>
      <x:c r="K150" s="68" t="n">
        <x:f>IF(E150&lt;=0,"",G150/E150)</x:f>
        <x:v>1.027243375</x:v>
      </x:c>
      <x:c r="L150" t="str">
        <x:f>IF(K150="","Not Calculated",IF(K150&lt;0.8,"Below 80%",IF(K150&lt;1,"80%-99.99%",IF(K150&lt;1.1,"100%-109.99%",IF(K150&lt;1.75,"110%-174.99%","175%+ Review")))))</x:f>
        <x:v>100%-109.99%</x:v>
      </x:c>
      <x:c r="M150" s="56" t="str">
        <x:v>Ready for Commission Calculation</x:v>
      </x:c>
      <x:c r="N150" s="74" t="n">
        <x:f>IF(E150&lt;=0,0,MIN(G150,E150*0.8)*0.01+MAX(0,MIN(G150,E150)-E150*0.8)*0.02)</x:f>
        <x:v>960</x:v>
      </x:c>
      <x:c r="O150" s="74" t="n">
        <x:f>IF(E150&lt;=0,0,MAX(0,MIN(G150,E150*1.1)-E150)*0.035+MAX(0,G150-E150*1.1)*0.05)</x:f>
        <x:v>76.28145000000005</x:v>
      </x:c>
      <x:c r="P150" s="74" t="n">
        <x:f>N150+O150</x:f>
        <x:v>1036.28145</x:v>
      </x:c>
      <x:c r="Q150" s="76" t="n">
        <x:f>IF(G150&lt;=0,0,P150/G150)</x:f>
        <x:v>0.01260997971877891</x:v>
      </x:c>
    </x:row>
    <x:row r="151">
      <x:c r="A151" s="56" t="str">
        <x:v>EMP013</x:v>
      </x:c>
      <x:c r="B151" s="56" t="str">
        <x:v>Camille Bouchard</x:v>
      </x:c>
      <x:c r="C151" s="56" t="str">
        <x:v>AE I</x:v>
      </x:c>
      <x:c r="D151" s="56" t="str">
        <x:v>2026-06</x:v>
      </x:c>
      <x:c r="E151" s="72" t="n">
        <x:v>90000</x:v>
      </x:c>
      <x:c r="F151" s="72" t="n">
        <x:v>96930.18</x:v>
      </x:c>
      <x:c r="G151" s="72" t="n">
        <x:v>87610.04999999999</x:v>
      </x:c>
      <x:c r="H151" s="72" t="n">
        <x:v>9320.130000000001</x:v>
      </x:c>
      <x:c r="I151" s="56" t="n">
        <x:v>0</x:v>
      </x:c>
      <x:c r="J151" s="56" t="n">
        <x:v>0</x:v>
      </x:c>
      <x:c r="K151" s="68" t="n">
        <x:f>IF(E151&lt;=0,"",G151/E151)</x:f>
        <x:v>0.9734449999999999</x:v>
      </x:c>
      <x:c r="L151" t="str">
        <x:f>IF(K151="","Not Calculated",IF(K151&lt;0.8,"Below 80%",IF(K151&lt;1,"80%-99.99%",IF(K151&lt;1.1,"100%-109.99%",IF(K151&lt;1.75,"110%-174.99%","175%+ Review")))))</x:f>
        <x:v>80%-99.99%</x:v>
      </x:c>
      <x:c r="M151" s="56" t="str">
        <x:v>Ready for Commission Calculation</x:v>
      </x:c>
      <x:c r="N151" s="74" t="n">
        <x:f>IF(E151&lt;=0,0,MIN(G151,E151*0.8)*0.01+MAX(0,MIN(G151,E151)-E151*0.8)*0.02)</x:f>
        <x:v>1032.2009999999998</x:v>
      </x:c>
      <x:c r="O151" s="74" t="n">
        <x:f>IF(E151&lt;=0,0,MAX(0,MIN(G151,E151*1.1)-E151)*0.035+MAX(0,G151-E151*1.1)*0.05)</x:f>
        <x:v>0</x:v>
      </x:c>
      <x:c r="P151" s="74" t="n">
        <x:f>N151+O151</x:f>
        <x:v>1032.2009999999998</x:v>
      </x:c>
      <x:c r="Q151" s="76" t="n">
        <x:f>IF(G151&lt;=0,0,P151/G151)</x:f>
        <x:v>0.011781764763289142</x:v>
      </x:c>
    </x:row>
    <x:row r="152">
      <x:c r="A152" s="56" t="str">
        <x:v>EMP013</x:v>
      </x:c>
      <x:c r="B152" s="56" t="str">
        <x:v>Camille Bouchard</x:v>
      </x:c>
      <x:c r="C152" s="56" t="str">
        <x:v>AE I</x:v>
      </x:c>
      <x:c r="D152" s="56" t="str">
        <x:v>2026-07</x:v>
      </x:c>
      <x:c r="E152" s="72" t="n">
        <x:v>70000</x:v>
      </x:c>
      <x:c r="F152" s="72" t="n">
        <x:v>73899.54</x:v>
      </x:c>
      <x:c r="G152" s="72" t="n">
        <x:v>66765.71</x:v>
      </x:c>
      <x:c r="H152" s="72" t="n">
        <x:v>7133.830000000001</x:v>
      </x:c>
      <x:c r="I152" s="56" t="n">
        <x:v>0</x:v>
      </x:c>
      <x:c r="J152" s="56" t="n">
        <x:v>0</x:v>
      </x:c>
      <x:c r="K152" s="68" t="n">
        <x:f>IF(E152&lt;=0,"",G152/E152)</x:f>
        <x:v>0.9537958571428572</x:v>
      </x:c>
      <x:c r="L152" t="str">
        <x:f>IF(K152="","Not Calculated",IF(K152&lt;0.8,"Below 80%",IF(K152&lt;1,"80%-99.99%",IF(K152&lt;1.1,"100%-109.99%",IF(K152&lt;1.75,"110%-174.99%","175%+ Review")))))</x:f>
        <x:v>80%-99.99%</x:v>
      </x:c>
      <x:c r="M152" s="56" t="str">
        <x:v>Ready for Commission Calculation</x:v>
      </x:c>
      <x:c r="N152" s="74" t="n">
        <x:f>IF(E152&lt;=0,0,MIN(G152,E152*0.8)*0.01+MAX(0,MIN(G152,E152)-E152*0.8)*0.02)</x:f>
        <x:v>775.3142000000001</x:v>
      </x:c>
      <x:c r="O152" s="74" t="n">
        <x:f>IF(E152&lt;=0,0,MAX(0,MIN(G152,E152*1.1)-E152)*0.035+MAX(0,G152-E152*1.1)*0.05)</x:f>
        <x:v>0</x:v>
      </x:c>
      <x:c r="P152" s="74" t="n">
        <x:f>N152+O152</x:f>
        <x:v>775.3142000000001</x:v>
      </x:c>
      <x:c r="Q152" s="76" t="n">
        <x:f>IF(G152&lt;=0,0,P152/G152)</x:f>
        <x:v>0.011612460947393505</x:v>
      </x:c>
    </x:row>
    <x:row r="153">
      <x:c r="A153" s="56" t="str">
        <x:v>EMP013</x:v>
      </x:c>
      <x:c r="B153" s="56" t="str">
        <x:v>Camille Bouchard</x:v>
      </x:c>
      <x:c r="C153" s="56" t="str">
        <x:v>AE I</x:v>
      </x:c>
      <x:c r="D153" s="56" t="str">
        <x:v>2026-08</x:v>
      </x:c>
      <x:c r="E153" s="72" t="n">
        <x:v>70000</x:v>
      </x:c>
      <x:c r="F153" s="72" t="n">
        <x:v>72672.95</x:v>
      </x:c>
      <x:c r="G153" s="72" t="n">
        <x:v>68059.98</x:v>
      </x:c>
      <x:c r="H153" s="72" t="n">
        <x:v>4612.97</x:v>
      </x:c>
      <x:c r="I153" s="56" t="n">
        <x:v>0</x:v>
      </x:c>
      <x:c r="J153" s="56" t="n">
        <x:v>0</x:v>
      </x:c>
      <x:c r="K153" s="68" t="n">
        <x:f>IF(E153&lt;=0,"",G153/E153)</x:f>
        <x:v>0.9722854285714285</x:v>
      </x:c>
      <x:c r="L153" t="str">
        <x:f>IF(K153="","Not Calculated",IF(K153&lt;0.8,"Below 80%",IF(K153&lt;1,"80%-99.99%",IF(K153&lt;1.1,"100%-109.99%",IF(K153&lt;1.75,"110%-174.99%","175%+ Review")))))</x:f>
        <x:v>80%-99.99%</x:v>
      </x:c>
      <x:c r="M153" s="56" t="str">
        <x:v>Ready for Commission Calculation</x:v>
      </x:c>
      <x:c r="N153" s="74" t="n">
        <x:f>IF(E153&lt;=0,0,MIN(G153,E153*0.8)*0.01+MAX(0,MIN(G153,E153)-E153*0.8)*0.02)</x:f>
        <x:v>801.1995999999999</x:v>
      </x:c>
      <x:c r="O153" s="74" t="n">
        <x:f>IF(E153&lt;=0,0,MAX(0,MIN(G153,E153*1.1)-E153)*0.035+MAX(0,G153-E153*1.1)*0.05)</x:f>
        <x:v>0</x:v>
      </x:c>
      <x:c r="P153" s="74" t="n">
        <x:f>N153+O153</x:f>
        <x:v>801.1995999999999</x:v>
      </x:c>
      <x:c r="Q153" s="76" t="n">
        <x:f>IF(G153&lt;=0,0,P153/G153)</x:f>
        <x:v>0.011771963494552892</x:v>
      </x:c>
    </x:row>
    <x:row r="154">
      <x:c r="A154" s="56" t="str">
        <x:v>EMP013</x:v>
      </x:c>
      <x:c r="B154" s="56" t="str">
        <x:v>Camille Bouchard</x:v>
      </x:c>
      <x:c r="C154" s="56" t="str">
        <x:v>AE I</x:v>
      </x:c>
      <x:c r="D154" s="56" t="str">
        <x:v>2026-09</x:v>
      </x:c>
      <x:c r="E154" s="72" t="n">
        <x:v>100000</x:v>
      </x:c>
      <x:c r="F154" s="72" t="n">
        <x:v>100912.29</x:v>
      </x:c>
      <x:c r="G154" s="72" t="n">
        <x:v>100574.74999999999</x:v>
      </x:c>
      <x:c r="H154" s="72" t="n">
        <x:v>337.54</x:v>
      </x:c>
      <x:c r="I154" s="56" t="n">
        <x:v>0</x:v>
      </x:c>
      <x:c r="J154" s="56" t="n">
        <x:v>0</x:v>
      </x:c>
      <x:c r="K154" s="68" t="n">
        <x:f>IF(E154&lt;=0,"",G154/E154)</x:f>
        <x:v>1.0057474999999998</x:v>
      </x:c>
      <x:c r="L154" t="str">
        <x:f>IF(K154="","Not Calculated",IF(K154&lt;0.8,"Below 80%",IF(K154&lt;1,"80%-99.99%",IF(K154&lt;1.1,"100%-109.99%",IF(K154&lt;1.75,"110%-174.99%","175%+ Review")))))</x:f>
        <x:v>100%-109.99%</x:v>
      </x:c>
      <x:c r="M154" s="56" t="str">
        <x:v>Ready for Commission Calculation</x:v>
      </x:c>
      <x:c r="N154" s="74" t="n">
        <x:f>IF(E154&lt;=0,0,MIN(G154,E154*0.8)*0.01+MAX(0,MIN(G154,E154)-E154*0.8)*0.02)</x:f>
        <x:v>1200</x:v>
      </x:c>
      <x:c r="O154" s="74" t="n">
        <x:f>IF(E154&lt;=0,0,MAX(0,MIN(G154,E154*1.1)-E154)*0.035+MAX(0,G154-E154*1.1)*0.05)</x:f>
        <x:v>20.116249999999493</x:v>
      </x:c>
      <x:c r="P154" s="74" t="n">
        <x:f>N154+O154</x:f>
        <x:v>1220.1162499999996</x:v>
      </x:c>
      <x:c r="Q154" s="76" t="n">
        <x:f>IF(G154&lt;=0,0,P154/G154)</x:f>
        <x:v>0.01213143706546623</x:v>
      </x:c>
    </x:row>
    <x:row r="155">
      <x:c r="A155" s="56" t="str">
        <x:v>EMP013</x:v>
      </x:c>
      <x:c r="B155" s="56" t="str">
        <x:v>Camille Bouchard</x:v>
      </x:c>
      <x:c r="C155" s="56" t="str">
        <x:v>AE I</x:v>
      </x:c>
      <x:c r="D155" s="56" t="str">
        <x:v>2026-10</x:v>
      </x:c>
      <x:c r="E155" s="72" t="n">
        <x:v>100000</x:v>
      </x:c>
      <x:c r="F155" s="72" t="n">
        <x:v>98247.79000000001</x:v>
      </x:c>
      <x:c r="G155" s="72" t="n">
        <x:v>97987.54000000001</x:v>
      </x:c>
      <x:c r="H155" s="72" t="n">
        <x:v>260.25</x:v>
      </x:c>
      <x:c r="I155" s="56" t="n">
        <x:v>0</x:v>
      </x:c>
      <x:c r="J155" s="56" t="n">
        <x:v>0</x:v>
      </x:c>
      <x:c r="K155" s="68" t="n">
        <x:f>IF(E155&lt;=0,"",G155/E155)</x:f>
        <x:v>0.9798754000000001</x:v>
      </x:c>
      <x:c r="L155" t="str">
        <x:f>IF(K155="","Not Calculated",IF(K155&lt;0.8,"Below 80%",IF(K155&lt;1,"80%-99.99%",IF(K155&lt;1.1,"100%-109.99%",IF(K155&lt;1.75,"110%-174.99%","175%+ Review")))))</x:f>
        <x:v>80%-99.99%</x:v>
      </x:c>
      <x:c r="M155" s="56" t="str">
        <x:v>Ready for Commission Calculation</x:v>
      </x:c>
      <x:c r="N155" s="74" t="n">
        <x:f>IF(E155&lt;=0,0,MIN(G155,E155*0.8)*0.01+MAX(0,MIN(G155,E155)-E155*0.8)*0.02)</x:f>
        <x:v>1159.7508000000003</x:v>
      </x:c>
      <x:c r="O155" s="74" t="n">
        <x:f>IF(E155&lt;=0,0,MAX(0,MIN(G155,E155*1.1)-E155)*0.035+MAX(0,G155-E155*1.1)*0.05)</x:f>
        <x:v>0</x:v>
      </x:c>
      <x:c r="P155" s="74" t="n">
        <x:f>N155+O155</x:f>
        <x:v>1159.7508000000003</x:v>
      </x:c>
      <x:c r="Q155" s="76" t="n">
        <x:f>IF(G155&lt;=0,0,P155/G155)</x:f>
        <x:v>0.011835696661024454</x:v>
      </x:c>
    </x:row>
    <x:row r="156">
      <x:c r="A156" s="56" t="str">
        <x:v>EMP013</x:v>
      </x:c>
      <x:c r="B156" s="56" t="str">
        <x:v>Camille Bouchard</x:v>
      </x:c>
      <x:c r="C156" s="56" t="str">
        <x:v>AE I</x:v>
      </x:c>
      <x:c r="D156" s="56" t="str">
        <x:v>2026-11</x:v>
      </x:c>
      <x:c r="E156" s="72" t="n">
        <x:v>90000</x:v>
      </x:c>
      <x:c r="F156" s="72" t="n">
        <x:v>99531.26</x:v>
      </x:c>
      <x:c r="G156" s="72" t="n">
        <x:v>98306.47</x:v>
      </x:c>
      <x:c r="H156" s="72" t="n">
        <x:v>1224.79</x:v>
      </x:c>
      <x:c r="I156" s="56" t="n">
        <x:v>0</x:v>
      </x:c>
      <x:c r="J156" s="56" t="n">
        <x:v>0</x:v>
      </x:c>
      <x:c r="K156" s="68" t="n">
        <x:f>IF(E156&lt;=0,"",G156/E156)</x:f>
        <x:v>1.092294111111111</x:v>
      </x:c>
      <x:c r="L156" t="str">
        <x:f>IF(K156="","Not Calculated",IF(K156&lt;0.8,"Below 80%",IF(K156&lt;1,"80%-99.99%",IF(K156&lt;1.1,"100%-109.99%",IF(K156&lt;1.75,"110%-174.99%","175%+ Review")))))</x:f>
        <x:v>100%-109.99%</x:v>
      </x:c>
      <x:c r="M156" s="56" t="str">
        <x:v>Ready for Commission Calculation</x:v>
      </x:c>
      <x:c r="N156" s="74" t="n">
        <x:f>IF(E156&lt;=0,0,MIN(G156,E156*0.8)*0.01+MAX(0,MIN(G156,E156)-E156*0.8)*0.02)</x:f>
        <x:v>1080</x:v>
      </x:c>
      <x:c r="O156" s="74" t="n">
        <x:f>IF(E156&lt;=0,0,MAX(0,MIN(G156,E156*1.1)-E156)*0.035+MAX(0,G156-E156*1.1)*0.05)</x:f>
        <x:v>290.72645000000006</x:v>
      </x:c>
      <x:c r="P156" s="74" t="n">
        <x:f>N156+O156</x:f>
        <x:v>1370.72645</x:v>
      </x:c>
      <x:c r="Q156" s="76" t="n">
        <x:f>IF(G156&lt;=0,0,P156/G156)</x:f>
        <x:v>0.013943400164811126</x:v>
      </x:c>
    </x:row>
    <x:row r="157">
      <x:c r="A157" s="56" t="str">
        <x:v>EMP013</x:v>
      </x:c>
      <x:c r="B157" s="56" t="str">
        <x:v>Camille Bouchard</x:v>
      </x:c>
      <x:c r="C157" s="56" t="str">
        <x:v>AE I</x:v>
      </x:c>
      <x:c r="D157" s="56" t="str">
        <x:v>2026-12</x:v>
      </x:c>
      <x:c r="E157" s="72" t="n">
        <x:v>100000</x:v>
      </x:c>
      <x:c r="F157" s="72" t="n">
        <x:v>99285.08</x:v>
      </x:c>
      <x:c r="G157" s="72" t="n">
        <x:v>98956.81000000001</x:v>
      </x:c>
      <x:c r="H157" s="72" t="n">
        <x:v>328.27</x:v>
      </x:c>
      <x:c r="I157" s="56" t="n">
        <x:v>0</x:v>
      </x:c>
      <x:c r="J157" s="56" t="n">
        <x:v>0</x:v>
      </x:c>
      <x:c r="K157" s="68" t="n">
        <x:f>IF(E157&lt;=0,"",G157/E157)</x:f>
        <x:v>0.9895681000000002</x:v>
      </x:c>
      <x:c r="L157" t="str">
        <x:f>IF(K157="","Not Calculated",IF(K157&lt;0.8,"Below 80%",IF(K157&lt;1,"80%-99.99%",IF(K157&lt;1.1,"100%-109.99%",IF(K157&lt;1.75,"110%-174.99%","175%+ Review")))))</x:f>
        <x:v>80%-99.99%</x:v>
      </x:c>
      <x:c r="M157" s="56" t="str">
        <x:v>Ready for Commission Calculation</x:v>
      </x:c>
      <x:c r="N157" s="74" t="n">
        <x:f>IF(E157&lt;=0,0,MIN(G157,E157*0.8)*0.01+MAX(0,MIN(G157,E157)-E157*0.8)*0.02)</x:f>
        <x:v>1179.1362000000004</x:v>
      </x:c>
      <x:c r="O157" s="74" t="n">
        <x:f>IF(E157&lt;=0,0,MAX(0,MIN(G157,E157*1.1)-E157)*0.035+MAX(0,G157-E157*1.1)*0.05)</x:f>
        <x:v>0</x:v>
      </x:c>
      <x:c r="P157" s="74" t="n">
        <x:f>N157+O157</x:f>
        <x:v>1179.1362000000004</x:v>
      </x:c>
      <x:c r="Q157" s="76" t="n">
        <x:f>IF(G157&lt;=0,0,P157/G157)</x:f>
        <x:v>0.011915665025984571</x:v>
      </x:c>
    </x:row>
    <x:row r="158">
      <x:c r="A158" s="56" t="str">
        <x:v>EMP014</x:v>
      </x:c>
      <x:c r="B158" s="56" t="str">
        <x:v>Félix Roy</x:v>
      </x:c>
      <x:c r="C158" s="56" t="str">
        <x:v>AE I</x:v>
      </x:c>
      <x:c r="D158" s="56" t="str">
        <x:v>2026-01</x:v>
      </x:c>
      <x:c r="E158" s="72" t="n">
        <x:v>72100</x:v>
      </x:c>
      <x:c r="F158" s="72" t="n">
        <x:v>79195.38</x:v>
      </x:c>
      <x:c r="G158" s="72" t="n">
        <x:v>79195.38</x:v>
      </x:c>
      <x:c r="H158" s="72" t="n">
        <x:v>0</x:v>
      </x:c>
      <x:c r="I158" s="56" t="n">
        <x:v>0</x:v>
      </x:c>
      <x:c r="J158" s="56" t="n">
        <x:v>0</x:v>
      </x:c>
      <x:c r="K158" s="68" t="n">
        <x:f>IF(E158&lt;=0,"",G158/E158)</x:f>
        <x:v>1.098410263522885</x:v>
      </x:c>
      <x:c r="L158" t="str">
        <x:f>IF(K158="","Not Calculated",IF(K158&lt;0.8,"Below 80%",IF(K158&lt;1,"80%-99.99%",IF(K158&lt;1.1,"100%-109.99%",IF(K158&lt;1.75,"110%-174.99%","175%+ Review")))))</x:f>
        <x:v>100%-109.99%</x:v>
      </x:c>
      <x:c r="M158" s="56" t="str">
        <x:v>Ready for Commission Calculation</x:v>
      </x:c>
      <x:c r="N158" s="74" t="n">
        <x:f>IF(E158&lt;=0,0,MIN(G158,E158*0.8)*0.01+MAX(0,MIN(G158,E158)-E158*0.8)*0.02)</x:f>
        <x:v>865.2</x:v>
      </x:c>
      <x:c r="O158" s="74" t="n">
        <x:f>IF(E158&lt;=0,0,MAX(0,MIN(G158,E158*1.1)-E158)*0.035+MAX(0,G158-E158*1.1)*0.05)</x:f>
        <x:v>248.33830000000017</x:v>
      </x:c>
      <x:c r="P158" s="74" t="n">
        <x:f>N158+O158</x:f>
        <x:v>1113.5383000000002</x:v>
      </x:c>
      <x:c r="Q158" s="76" t="n">
        <x:f>IF(G158&lt;=0,0,P158/G158)</x:f>
        <x:v>0.014060647224623458</x:v>
      </x:c>
    </x:row>
    <x:row r="159">
      <x:c r="A159" s="56" t="str">
        <x:v>EMP014</x:v>
      </x:c>
      <x:c r="B159" s="56" t="str">
        <x:v>Félix Roy</x:v>
      </x:c>
      <x:c r="C159" s="56" t="str">
        <x:v>AE I</x:v>
      </x:c>
      <x:c r="D159" s="56" t="str">
        <x:v>2026-02</x:v>
      </x:c>
      <x:c r="E159" s="72" t="n">
        <x:v>72100</x:v>
      </x:c>
      <x:c r="F159" s="72" t="n">
        <x:v>75340.65</x:v>
      </x:c>
      <x:c r="G159" s="72" t="n">
        <x:v>75185.26</x:v>
      </x:c>
      <x:c r="H159" s="72" t="n">
        <x:v>155.39</x:v>
      </x:c>
      <x:c r="I159" s="56" t="n">
        <x:v>0</x:v>
      </x:c>
      <x:c r="J159" s="56" t="n">
        <x:v>0</x:v>
      </x:c>
      <x:c r="K159" s="68" t="n">
        <x:f>IF(E159&lt;=0,"",G159/E159)</x:f>
        <x:v>1.0427914008321775</x:v>
      </x:c>
      <x:c r="L159" t="str">
        <x:f>IF(K159="","Not Calculated",IF(K159&lt;0.8,"Below 80%",IF(K159&lt;1,"80%-99.99%",IF(K159&lt;1.1,"100%-109.99%",IF(K159&lt;1.75,"110%-174.99%","175%+ Review")))))</x:f>
        <x:v>100%-109.99%</x:v>
      </x:c>
      <x:c r="M159" s="56" t="str">
        <x:v>Ready for Commission Calculation</x:v>
      </x:c>
      <x:c r="N159" s="74" t="n">
        <x:f>IF(E159&lt;=0,0,MIN(G159,E159*0.8)*0.01+MAX(0,MIN(G159,E159)-E159*0.8)*0.02)</x:f>
        <x:v>865.2</x:v>
      </x:c>
      <x:c r="O159" s="74" t="n">
        <x:f>IF(E159&lt;=0,0,MAX(0,MIN(G159,E159*1.1)-E159)*0.035+MAX(0,G159-E159*1.1)*0.05)</x:f>
        <x:v>107.98409999999983</x:v>
      </x:c>
      <x:c r="P159" s="74" t="n">
        <x:f>N159+O159</x:f>
        <x:v>973.1840999999998</x:v>
      </x:c>
      <x:c r="Q159" s="76" t="n">
        <x:f>IF(G159&lt;=0,0,P159/G159)</x:f>
        <x:v>0.012943815050982067</x:v>
      </x:c>
    </x:row>
    <x:row r="160">
      <x:c r="A160" s="56" t="str">
        <x:v>EMP014</x:v>
      </x:c>
      <x:c r="B160" s="56" t="str">
        <x:v>Félix Roy</x:v>
      </x:c>
      <x:c r="C160" s="56" t="str">
        <x:v>AE I</x:v>
      </x:c>
      <x:c r="D160" s="56" t="str">
        <x:v>2026-03</x:v>
      </x:c>
      <x:c r="E160" s="72" t="n">
        <x:v>82400</x:v>
      </x:c>
      <x:c r="F160" s="72" t="n">
        <x:v>98615.84999999999</x:v>
      </x:c>
      <x:c r="G160" s="72" t="n">
        <x:v>98615.84999999999</x:v>
      </x:c>
      <x:c r="H160" s="72" t="n">
        <x:v>0</x:v>
      </x:c>
      <x:c r="I160" s="56" t="n">
        <x:v>0</x:v>
      </x:c>
      <x:c r="J160" s="56" t="n">
        <x:v>0</x:v>
      </x:c>
      <x:c r="K160" s="68" t="n">
        <x:f>IF(E160&lt;=0,"",G160/E160)</x:f>
        <x:v>1.1967942961165048</x:v>
      </x:c>
      <x:c r="L160" t="str">
        <x:f>IF(K160="","Not Calculated",IF(K160&lt;0.8,"Below 80%",IF(K160&lt;1,"80%-99.99%",IF(K160&lt;1.1,"100%-109.99%",IF(K160&lt;1.75,"110%-174.99%","175%+ Review")))))</x:f>
        <x:v>110%-174.99%</x:v>
      </x:c>
      <x:c r="M160" s="56" t="str">
        <x:v>Ready for Commission Calculation</x:v>
      </x:c>
      <x:c r="N160" s="74" t="n">
        <x:f>IF(E160&lt;=0,0,MIN(G160,E160*0.8)*0.01+MAX(0,MIN(G160,E160)-E160*0.8)*0.02)</x:f>
        <x:v>988.8000000000001</x:v>
      </x:c>
      <x:c r="O160" s="74" t="n">
        <x:f>IF(E160&lt;=0,0,MAX(0,MIN(G160,E160*1.1)-E160)*0.035+MAX(0,G160-E160*1.1)*0.05)</x:f>
        <x:v>687.1924999999994</x:v>
      </x:c>
      <x:c r="P160" s="74" t="n">
        <x:f>N160+O160</x:f>
        <x:v>1675.9924999999994</x:v>
      </x:c>
      <x:c r="Q160" s="76" t="n">
        <x:f>IF(G160&lt;=0,0,P160/G160)</x:f>
        <x:v>0.016995163556365427</x:v>
      </x:c>
    </x:row>
    <x:row r="161">
      <x:c r="A161" s="56" t="str">
        <x:v>EMP014</x:v>
      </x:c>
      <x:c r="B161" s="56" t="str">
        <x:v>Félix Roy</x:v>
      </x:c>
      <x:c r="C161" s="56" t="str">
        <x:v>AE I</x:v>
      </x:c>
      <x:c r="D161" s="56" t="str">
        <x:v>2026-04</x:v>
      </x:c>
      <x:c r="E161" s="72" t="n">
        <x:v>82400</x:v>
      </x:c>
      <x:c r="F161" s="72" t="n">
        <x:v>81129.93999999999</x:v>
      </x:c>
      <x:c r="G161" s="72" t="n">
        <x:v>80635.65999999999</x:v>
      </x:c>
      <x:c r="H161" s="72" t="n">
        <x:v>494.28</x:v>
      </x:c>
      <x:c r="I161" s="56" t="n">
        <x:v>0</x:v>
      </x:c>
      <x:c r="J161" s="56" t="n">
        <x:v>0</x:v>
      </x:c>
      <x:c r="K161" s="68" t="n">
        <x:f>IF(E161&lt;=0,"",G161/E161)</x:f>
        <x:v>0.9785881067961164</x:v>
      </x:c>
      <x:c r="L161" t="str">
        <x:f>IF(K161="","Not Calculated",IF(K161&lt;0.8,"Below 80%",IF(K161&lt;1,"80%-99.99%",IF(K161&lt;1.1,"100%-109.99%",IF(K161&lt;1.75,"110%-174.99%","175%+ Review")))))</x:f>
        <x:v>80%-99.99%</x:v>
      </x:c>
      <x:c r="M161" s="56" t="str">
        <x:v>Ready for Commission Calculation</x:v>
      </x:c>
      <x:c r="N161" s="74" t="n">
        <x:f>IF(E161&lt;=0,0,MIN(G161,E161*0.8)*0.01+MAX(0,MIN(G161,E161)-E161*0.8)*0.02)</x:f>
        <x:v>953.5131999999999</x:v>
      </x:c>
      <x:c r="O161" s="74" t="n">
        <x:f>IF(E161&lt;=0,0,MAX(0,MIN(G161,E161*1.1)-E161)*0.035+MAX(0,G161-E161*1.1)*0.05)</x:f>
        <x:v>0</x:v>
      </x:c>
      <x:c r="P161" s="74" t="n">
        <x:f>N161+O161</x:f>
        <x:v>953.5131999999999</x:v>
      </x:c>
      <x:c r="Q161" s="76" t="n">
        <x:f>IF(G161&lt;=0,0,P161/G161)</x:f>
        <x:v>0.011824956849116136</x:v>
      </x:c>
    </x:row>
    <x:row r="162">
      <x:c r="A162" s="56" t="str">
        <x:v>EMP014</x:v>
      </x:c>
      <x:c r="B162" s="56" t="str">
        <x:v>Félix Roy</x:v>
      </x:c>
      <x:c r="C162" s="56" t="str">
        <x:v>AE I</x:v>
      </x:c>
      <x:c r="D162" s="56" t="str">
        <x:v>2026-05</x:v>
      </x:c>
      <x:c r="E162" s="72" t="n">
        <x:v>82400</x:v>
      </x:c>
      <x:c r="F162" s="72" t="n">
        <x:v>92115.96</x:v>
      </x:c>
      <x:c r="G162" s="72" t="n">
        <x:v>91735.25</x:v>
      </x:c>
      <x:c r="H162" s="72" t="n">
        <x:v>380.71</x:v>
      </x:c>
      <x:c r="I162" s="56" t="n">
        <x:v>0</x:v>
      </x:c>
      <x:c r="J162" s="56" t="n">
        <x:v>0</x:v>
      </x:c>
      <x:c r="K162" s="68" t="n">
        <x:f>IF(E162&lt;=0,"",G162/E162)</x:f>
        <x:v>1.1132918689320388</x:v>
      </x:c>
      <x:c r="L162" t="str">
        <x:f>IF(K162="","Not Calculated",IF(K162&lt;0.8,"Below 80%",IF(K162&lt;1,"80%-99.99%",IF(K162&lt;1.1,"100%-109.99%",IF(K162&lt;1.75,"110%-174.99%","175%+ Review")))))</x:f>
        <x:v>110%-174.99%</x:v>
      </x:c>
      <x:c r="M162" s="56" t="str">
        <x:v>Ready for Commission Calculation</x:v>
      </x:c>
      <x:c r="N162" s="74" t="n">
        <x:f>IF(E162&lt;=0,0,MIN(G162,E162*0.8)*0.01+MAX(0,MIN(G162,E162)-E162*0.8)*0.02)</x:f>
        <x:v>988.8000000000001</x:v>
      </x:c>
      <x:c r="O162" s="74" t="n">
        <x:f>IF(E162&lt;=0,0,MAX(0,MIN(G162,E162*1.1)-E162)*0.035+MAX(0,G162-E162*1.1)*0.05)</x:f>
        <x:v>343.1624999999998</x:v>
      </x:c>
      <x:c r="P162" s="74" t="n">
        <x:f>N162+O162</x:f>
        <x:v>1331.9624999999999</x:v>
      </x:c>
      <x:c r="Q162" s="76" t="n">
        <x:f>IF(G162&lt;=0,0,P162/G162)</x:f>
        <x:v>0.014519636671835525</x:v>
      </x:c>
    </x:row>
    <x:row r="163">
      <x:c r="A163" s="56" t="str">
        <x:v>EMP014</x:v>
      </x:c>
      <x:c r="B163" s="56" t="str">
        <x:v>Félix Roy</x:v>
      </x:c>
      <x:c r="C163" s="56" t="str">
        <x:v>AE I</x:v>
      </x:c>
      <x:c r="D163" s="56" t="str">
        <x:v>2026-06</x:v>
      </x:c>
      <x:c r="E163" s="72" t="n">
        <x:v>92700</x:v>
      </x:c>
      <x:c r="F163" s="72" t="n">
        <x:v>96033.07</x:v>
      </x:c>
      <x:c r="G163" s="72" t="n">
        <x:v>96033.07</x:v>
      </x:c>
      <x:c r="H163" s="72" t="n">
        <x:v>0</x:v>
      </x:c>
      <x:c r="I163" s="56" t="n">
        <x:v>0</x:v>
      </x:c>
      <x:c r="J163" s="56" t="n">
        <x:v>0</x:v>
      </x:c>
      <x:c r="K163" s="68" t="n">
        <x:f>IF(E163&lt;=0,"",G163/E163)</x:f>
        <x:v>1.0359554476806905</x:v>
      </x:c>
      <x:c r="L163" t="str">
        <x:f>IF(K163="","Not Calculated",IF(K163&lt;0.8,"Below 80%",IF(K163&lt;1,"80%-99.99%",IF(K163&lt;1.1,"100%-109.99%",IF(K163&lt;1.75,"110%-174.99%","175%+ Review")))))</x:f>
        <x:v>100%-109.99%</x:v>
      </x:c>
      <x:c r="M163" s="56" t="str">
        <x:v>Ready for Commission Calculation</x:v>
      </x:c>
      <x:c r="N163" s="74" t="n">
        <x:f>IF(E163&lt;=0,0,MIN(G163,E163*0.8)*0.01+MAX(0,MIN(G163,E163)-E163*0.8)*0.02)</x:f>
        <x:v>1112.4</x:v>
      </x:c>
      <x:c r="O163" s="74" t="n">
        <x:f>IF(E163&lt;=0,0,MAX(0,MIN(G163,E163*1.1)-E163)*0.035+MAX(0,G163-E163*1.1)*0.05)</x:f>
        <x:v>116.65745000000025</x:v>
      </x:c>
      <x:c r="P163" s="74" t="n">
        <x:f>N163+O163</x:f>
        <x:v>1229.0574500000002</x:v>
      </x:c>
      <x:c r="Q163" s="76" t="n">
        <x:f>IF(G163&lt;=0,0,P163/G163)</x:f>
        <x:v>0.01279827303240436</x:v>
      </x:c>
    </x:row>
    <x:row r="164">
      <x:c r="A164" s="56" t="str">
        <x:v>EMP014</x:v>
      </x:c>
      <x:c r="B164" s="56" t="str">
        <x:v>Félix Roy</x:v>
      </x:c>
      <x:c r="C164" s="56" t="str">
        <x:v>AE I</x:v>
      </x:c>
      <x:c r="D164" s="56" t="str">
        <x:v>2026-07</x:v>
      </x:c>
      <x:c r="E164" s="72" t="n">
        <x:v>72100</x:v>
      </x:c>
      <x:c r="F164" s="72" t="n">
        <x:v>66025.06</x:v>
      </x:c>
      <x:c r="G164" s="72" t="n">
        <x:v>66025.06</x:v>
      </x:c>
      <x:c r="H164" s="72" t="n">
        <x:v>0</x:v>
      </x:c>
      <x:c r="I164" s="56" t="n">
        <x:v>0</x:v>
      </x:c>
      <x:c r="J164" s="56" t="n">
        <x:v>0</x:v>
      </x:c>
      <x:c r="K164" s="68" t="n">
        <x:f>IF(E164&lt;=0,"",G164/E164)</x:f>
        <x:v>0.9157428571428571</x:v>
      </x:c>
      <x:c r="L164" t="str">
        <x:f>IF(K164="","Not Calculated",IF(K164&lt;0.8,"Below 80%",IF(K164&lt;1,"80%-99.99%",IF(K164&lt;1.1,"100%-109.99%",IF(K164&lt;1.75,"110%-174.99%","175%+ Review")))))</x:f>
        <x:v>80%-99.99%</x:v>
      </x:c>
      <x:c r="M164" s="56" t="str">
        <x:v>Ready for Commission Calculation</x:v>
      </x:c>
      <x:c r="N164" s="74" t="n">
        <x:f>IF(E164&lt;=0,0,MIN(G164,E164*0.8)*0.01+MAX(0,MIN(G164,E164)-E164*0.8)*0.02)</x:f>
        <x:v>743.7012</x:v>
      </x:c>
      <x:c r="O164" s="74" t="n">
        <x:f>IF(E164&lt;=0,0,MAX(0,MIN(G164,E164*1.1)-E164)*0.035+MAX(0,G164-E164*1.1)*0.05)</x:f>
        <x:v>0</x:v>
      </x:c>
      <x:c r="P164" s="74" t="n">
        <x:f>N164+O164</x:f>
        <x:v>743.7012</x:v>
      </x:c>
      <x:c r="Q164" s="76" t="n">
        <x:f>IF(G164&lt;=0,0,P164/G164)</x:f>
        <x:v>0.011263923122523478</x:v>
      </x:c>
    </x:row>
    <x:row r="165">
      <x:c r="A165" s="56" t="str">
        <x:v>EMP014</x:v>
      </x:c>
      <x:c r="B165" s="56" t="str">
        <x:v>Félix Roy</x:v>
      </x:c>
      <x:c r="C165" s="56" t="str">
        <x:v>AE I</x:v>
      </x:c>
      <x:c r="D165" s="56" t="str">
        <x:v>2026-08</x:v>
      </x:c>
      <x:c r="E165" s="72" t="n">
        <x:v>72100</x:v>
      </x:c>
      <x:c r="F165" s="72" t="n">
        <x:v>76966.30000000002</x:v>
      </x:c>
      <x:c r="G165" s="72" t="n">
        <x:v>76834.43000000001</x:v>
      </x:c>
      <x:c r="H165" s="72" t="n">
        <x:v>131.87</x:v>
      </x:c>
      <x:c r="I165" s="56" t="n">
        <x:v>0</x:v>
      </x:c>
      <x:c r="J165" s="56" t="n">
        <x:v>0</x:v>
      </x:c>
      <x:c r="K165" s="68" t="n">
        <x:f>IF(E165&lt;=0,"",G165/E165)</x:f>
        <x:v>1.065664771151179</x:v>
      </x:c>
      <x:c r="L165" t="str">
        <x:f>IF(K165="","Not Calculated",IF(K165&lt;0.8,"Below 80%",IF(K165&lt;1,"80%-99.99%",IF(K165&lt;1.1,"100%-109.99%",IF(K165&lt;1.75,"110%-174.99%","175%+ Review")))))</x:f>
        <x:v>100%-109.99%</x:v>
      </x:c>
      <x:c r="M165" s="56" t="str">
        <x:v>Ready for Commission Calculation</x:v>
      </x:c>
      <x:c r="N165" s="74" t="n">
        <x:f>IF(E165&lt;=0,0,MIN(G165,E165*0.8)*0.01+MAX(0,MIN(G165,E165)-E165*0.8)*0.02)</x:f>
        <x:v>865.2</x:v>
      </x:c>
      <x:c r="O165" s="74" t="n">
        <x:f>IF(E165&lt;=0,0,MAX(0,MIN(G165,E165*1.1)-E165)*0.035+MAX(0,G165-E165*1.1)*0.05)</x:f>
        <x:v>165.70505000000028</x:v>
      </x:c>
      <x:c r="P165" s="74" t="n">
        <x:f>N165+O165</x:f>
        <x:v>1030.9050500000003</x:v>
      </x:c>
      <x:c r="Q165" s="76" t="n">
        <x:f>IF(G165&lt;=0,0,P165/G165)</x:f>
        <x:v>0.013417227797486104</x:v>
      </x:c>
    </x:row>
    <x:row r="166">
      <x:c r="A166" s="56" t="str">
        <x:v>EMP014</x:v>
      </x:c>
      <x:c r="B166" s="56" t="str">
        <x:v>Félix Roy</x:v>
      </x:c>
      <x:c r="C166" s="56" t="str">
        <x:v>AE I</x:v>
      </x:c>
      <x:c r="D166" s="56" t="str">
        <x:v>2026-09</x:v>
      </x:c>
      <x:c r="E166" s="72" t="n">
        <x:v>103000</x:v>
      </x:c>
      <x:c r="F166" s="72" t="n">
        <x:v>123288.35999999999</x:v>
      </x:c>
      <x:c r="G166" s="72" t="n">
        <x:v>123288.35999999999</x:v>
      </x:c>
      <x:c r="H166" s="72" t="n">
        <x:v>0</x:v>
      </x:c>
      <x:c r="I166" s="56" t="n">
        <x:v>0</x:v>
      </x:c>
      <x:c r="J166" s="56" t="n">
        <x:v>0</x:v>
      </x:c>
      <x:c r="K166" s="68" t="n">
        <x:f>IF(E166&lt;=0,"",G166/E166)</x:f>
        <x:v>1.1969743689320387</x:v>
      </x:c>
      <x:c r="L166" t="str">
        <x:f>IF(K166="","Not Calculated",IF(K166&lt;0.8,"Below 80%",IF(K166&lt;1,"80%-99.99%",IF(K166&lt;1.1,"100%-109.99%",IF(K166&lt;1.75,"110%-174.99%","175%+ Review")))))</x:f>
        <x:v>110%-174.99%</x:v>
      </x:c>
      <x:c r="M166" s="56" t="str">
        <x:v>Ready for Commission Calculation</x:v>
      </x:c>
      <x:c r="N166" s="74" t="n">
        <x:f>IF(E166&lt;=0,0,MIN(G166,E166*0.8)*0.01+MAX(0,MIN(G166,E166)-E166*0.8)*0.02)</x:f>
        <x:v>1236</x:v>
      </x:c>
      <x:c r="O166" s="74" t="n">
        <x:f>IF(E166&lt;=0,0,MAX(0,MIN(G166,E166*1.1)-E166)*0.035+MAX(0,G166-E166*1.1)*0.05)</x:f>
        <x:v>859.9179999999992</x:v>
      </x:c>
      <x:c r="P166" s="74" t="n">
        <x:f>N166+O166</x:f>
        <x:v>2095.917999999999</x:v>
      </x:c>
      <x:c r="Q166" s="76" t="n">
        <x:f>IF(G166&lt;=0,0,P166/G166)</x:f>
        <x:v>0.017000128803724857</x:v>
      </x:c>
    </x:row>
    <x:row r="167">
      <x:c r="A167" s="56" t="str">
        <x:v>EMP014</x:v>
      </x:c>
      <x:c r="B167" s="56" t="str">
        <x:v>Félix Roy</x:v>
      </x:c>
      <x:c r="C167" s="56" t="str">
        <x:v>AE I</x:v>
      </x:c>
      <x:c r="D167" s="56" t="str">
        <x:v>2026-10</x:v>
      </x:c>
      <x:c r="E167" s="72" t="n">
        <x:v>103000</x:v>
      </x:c>
      <x:c r="F167" s="72" t="n">
        <x:v>124509.46999999997</x:v>
      </x:c>
      <x:c r="G167" s="72" t="n">
        <x:v>124509.46999999997</x:v>
      </x:c>
      <x:c r="H167" s="72" t="n">
        <x:v>0</x:v>
      </x:c>
      <x:c r="I167" s="56" t="n">
        <x:v>0</x:v>
      </x:c>
      <x:c r="J167" s="56" t="n">
        <x:v>0</x:v>
      </x:c>
      <x:c r="K167" s="68" t="n">
        <x:f>IF(E167&lt;=0,"",G167/E167)</x:f>
        <x:v>1.2088298058252425</x:v>
      </x:c>
      <x:c r="L167" t="str">
        <x:f>IF(K167="","Not Calculated",IF(K167&lt;0.8,"Below 80%",IF(K167&lt;1,"80%-99.99%",IF(K167&lt;1.1,"100%-109.99%",IF(K167&lt;1.75,"110%-174.99%","175%+ Review")))))</x:f>
        <x:v>110%-174.99%</x:v>
      </x:c>
      <x:c r="M167" s="56" t="str">
        <x:v>Ready for Commission Calculation</x:v>
      </x:c>
      <x:c r="N167" s="74" t="n">
        <x:f>IF(E167&lt;=0,0,MIN(G167,E167*0.8)*0.01+MAX(0,MIN(G167,E167)-E167*0.8)*0.02)</x:f>
        <x:v>1236</x:v>
      </x:c>
      <x:c r="O167" s="74" t="n">
        <x:f>IF(E167&lt;=0,0,MAX(0,MIN(G167,E167*1.1)-E167)*0.035+MAX(0,G167-E167*1.1)*0.05)</x:f>
        <x:v>920.9734999999985</x:v>
      </x:c>
      <x:c r="P167" s="74" t="n">
        <x:f>N167+O167</x:f>
        <x:v>2156.9734999999982</x:v>
      </x:c>
      <x:c r="Q167" s="76" t="n">
        <x:f>IF(G167&lt;=0,0,P167/G167)</x:f>
        <x:v>0.017323770633671468</x:v>
      </x:c>
    </x:row>
    <x:row r="168">
      <x:c r="A168" s="56" t="str">
        <x:v>EMP014</x:v>
      </x:c>
      <x:c r="B168" s="56" t="str">
        <x:v>Félix Roy</x:v>
      </x:c>
      <x:c r="C168" s="56" t="str">
        <x:v>AE I</x:v>
      </x:c>
      <x:c r="D168" s="56" t="str">
        <x:v>2026-11</x:v>
      </x:c>
      <x:c r="E168" s="72" t="n">
        <x:v>92700</x:v>
      </x:c>
      <x:c r="F168" s="72" t="n">
        <x:v>88144.70999999999</x:v>
      </x:c>
      <x:c r="G168" s="72" t="n">
        <x:v>87218.66</x:v>
      </x:c>
      <x:c r="H168" s="72" t="n">
        <x:v>926.05</x:v>
      </x:c>
      <x:c r="I168" s="56" t="n">
        <x:v>0</x:v>
      </x:c>
      <x:c r="J168" s="56" t="n">
        <x:v>0</x:v>
      </x:c>
      <x:c r="K168" s="68" t="n">
        <x:f>IF(E168&lt;=0,"",G168/E168)</x:f>
        <x:v>0.9408701186623517</x:v>
      </x:c>
      <x:c r="L168" t="str">
        <x:f>IF(K168="","Not Calculated",IF(K168&lt;0.8,"Below 80%",IF(K168&lt;1,"80%-99.99%",IF(K168&lt;1.1,"100%-109.99%",IF(K168&lt;1.75,"110%-174.99%","175%+ Review")))))</x:f>
        <x:v>80%-99.99%</x:v>
      </x:c>
      <x:c r="M168" s="56" t="str">
        <x:v>Ready for Commission Calculation</x:v>
      </x:c>
      <x:c r="N168" s="74" t="n">
        <x:f>IF(E168&lt;=0,0,MIN(G168,E168*0.8)*0.01+MAX(0,MIN(G168,E168)-E168*0.8)*0.02)</x:f>
        <x:v>1002.7732000000001</x:v>
      </x:c>
      <x:c r="O168" s="74" t="n">
        <x:f>IF(E168&lt;=0,0,MAX(0,MIN(G168,E168*1.1)-E168)*0.035+MAX(0,G168-E168*1.1)*0.05)</x:f>
        <x:v>0</x:v>
      </x:c>
      <x:c r="P168" s="74" t="n">
        <x:f>N168+O168</x:f>
        <x:v>1002.7732000000001</x:v>
      </x:c>
      <x:c r="Q168" s="76" t="n">
        <x:f>IF(G168&lt;=0,0,P168/G168)</x:f>
        <x:v>0.011497232358304977</x:v>
      </x:c>
    </x:row>
    <x:row r="169">
      <x:c r="A169" s="56" t="str">
        <x:v>EMP014</x:v>
      </x:c>
      <x:c r="B169" s="56" t="str">
        <x:v>Félix Roy</x:v>
      </x:c>
      <x:c r="C169" s="56" t="str">
        <x:v>AE I</x:v>
      </x:c>
      <x:c r="D169" s="56" t="str">
        <x:v>2026-12</x:v>
      </x:c>
      <x:c r="E169" s="72" t="n">
        <x:v>103000</x:v>
      </x:c>
      <x:c r="F169" s="72" t="n">
        <x:v>108730.55000000002</x:v>
      </x:c>
      <x:c r="G169" s="72" t="n">
        <x:v>108556.00000000001</x:v>
      </x:c>
      <x:c r="H169" s="72" t="n">
        <x:v>174.55</x:v>
      </x:c>
      <x:c r="I169" s="56" t="n">
        <x:v>0</x:v>
      </x:c>
      <x:c r="J169" s="56" t="n">
        <x:v>0</x:v>
      </x:c>
      <x:c r="K169" s="68" t="n">
        <x:f>IF(E169&lt;=0,"",G169/E169)</x:f>
        <x:v>1.0539417475728157</x:v>
      </x:c>
      <x:c r="L169" t="str">
        <x:f>IF(K169="","Not Calculated",IF(K169&lt;0.8,"Below 80%",IF(K169&lt;1,"80%-99.99%",IF(K169&lt;1.1,"100%-109.99%",IF(K169&lt;1.75,"110%-174.99%","175%+ Review")))))</x:f>
        <x:v>100%-109.99%</x:v>
      </x:c>
      <x:c r="M169" s="56" t="str">
        <x:v>Ready for Commission Calculation</x:v>
      </x:c>
      <x:c r="N169" s="74" t="n">
        <x:f>IF(E169&lt;=0,0,MIN(G169,E169*0.8)*0.01+MAX(0,MIN(G169,E169)-E169*0.8)*0.02)</x:f>
        <x:v>1236</x:v>
      </x:c>
      <x:c r="O169" s="74" t="n">
        <x:f>IF(E169&lt;=0,0,MAX(0,MIN(G169,E169*1.1)-E169)*0.035+MAX(0,G169-E169*1.1)*0.05)</x:f>
        <x:v>194.46000000000052</x:v>
      </x:c>
      <x:c r="P169" s="74" t="n">
        <x:f>N169+O169</x:f>
        <x:v>1430.4600000000005</x:v>
      </x:c>
      <x:c r="Q169" s="76" t="n">
        <x:f>IF(G169&lt;=0,0,P169/G169)</x:f>
        <x:v>0.01317716201776042</x:v>
      </x:c>
    </x:row>
    <x:row r="170">
      <x:c r="A170" s="56" t="str">
        <x:v>EMP015</x:v>
      </x:c>
      <x:c r="B170" s="56" t="str">
        <x:v>Léa Gauthier</x:v>
      </x:c>
      <x:c r="C170" s="56" t="str">
        <x:v>AE I</x:v>
      </x:c>
      <x:c r="D170" s="56" t="str">
        <x:v>2026-01</x:v>
      </x:c>
      <x:c r="E170" s="72" t="n">
        <x:v>65100.00000000001</x:v>
      </x:c>
      <x:c r="F170" s="72" t="n">
        <x:v>87905.80000000002</x:v>
      </x:c>
      <x:c r="G170" s="72" t="n">
        <x:v>87905.80000000002</x:v>
      </x:c>
      <x:c r="H170" s="72" t="n">
        <x:v>0</x:v>
      </x:c>
      <x:c r="I170" s="56" t="n">
        <x:v>0</x:v>
      </x:c>
      <x:c r="J170" s="56" t="n">
        <x:v>0</x:v>
      </x:c>
      <x:c r="K170" s="68" t="n">
        <x:f>IF(E170&lt;=0,"",G170/E170)</x:f>
        <x:v>1.3503195084485409</x:v>
      </x:c>
      <x:c r="L170" t="str">
        <x:f>IF(K170="","Not Calculated",IF(K170&lt;0.8,"Below 80%",IF(K170&lt;1,"80%-99.99%",IF(K170&lt;1.1,"100%-109.99%",IF(K170&lt;1.75,"110%-174.99%","175%+ Review")))))</x:f>
        <x:v>110%-174.99%</x:v>
      </x:c>
      <x:c r="M170" s="56" t="str">
        <x:v>Ready for Commission Calculation</x:v>
      </x:c>
      <x:c r="N170" s="74" t="n">
        <x:f>IF(E170&lt;=0,0,MIN(G170,E170*0.8)*0.01+MAX(0,MIN(G170,E170)-E170*0.8)*0.02)</x:f>
        <x:v>781.2</x:v>
      </x:c>
      <x:c r="O170" s="74" t="n">
        <x:f>IF(E170&lt;=0,0,MAX(0,MIN(G170,E170*1.1)-E170)*0.035+MAX(0,G170-E170*1.1)*0.05)</x:f>
        <x:v>1042.6400000000006</x:v>
      </x:c>
      <x:c r="P170" s="74" t="n">
        <x:f>N170+O170</x:f>
        <x:v>1823.8400000000006</x:v>
      </x:c>
      <x:c r="Q170" s="76" t="n">
        <x:f>IF(G170&lt;=0,0,P170/G170)</x:f>
        <x:v>0.020747663976665935</x:v>
      </x:c>
    </x:row>
    <x:row r="171">
      <x:c r="A171" s="56" t="str">
        <x:v>EMP015</x:v>
      </x:c>
      <x:c r="B171" s="56" t="str">
        <x:v>Léa Gauthier</x:v>
      </x:c>
      <x:c r="C171" s="56" t="str">
        <x:v>AE I</x:v>
      </x:c>
      <x:c r="D171" s="56" t="str">
        <x:v>2026-02</x:v>
      </x:c>
      <x:c r="E171" s="72" t="n">
        <x:v>65100.00000000001</x:v>
      </x:c>
      <x:c r="F171" s="72" t="n">
        <x:v>89725.39000000001</x:v>
      </x:c>
      <x:c r="G171" s="72" t="n">
        <x:v>89497.72000000002</x:v>
      </x:c>
      <x:c r="H171" s="72" t="n">
        <x:v>227.67</x:v>
      </x:c>
      <x:c r="I171" s="56" t="n">
        <x:v>0</x:v>
      </x:c>
      <x:c r="J171" s="56" t="n">
        <x:v>0</x:v>
      </x:c>
      <x:c r="K171" s="68" t="n">
        <x:f>IF(E171&lt;=0,"",G171/E171)</x:f>
        <x:v>1.3747729646697389</x:v>
      </x:c>
      <x:c r="L171" t="str">
        <x:f>IF(K171="","Not Calculated",IF(K171&lt;0.8,"Below 80%",IF(K171&lt;1,"80%-99.99%",IF(K171&lt;1.1,"100%-109.99%",IF(K171&lt;1.75,"110%-174.99%","175%+ Review")))))</x:f>
        <x:v>110%-174.99%</x:v>
      </x:c>
      <x:c r="M171" s="56" t="str">
        <x:v>Ready for Commission Calculation</x:v>
      </x:c>
      <x:c r="N171" s="74" t="n">
        <x:f>IF(E171&lt;=0,0,MIN(G171,E171*0.8)*0.01+MAX(0,MIN(G171,E171)-E171*0.8)*0.02)</x:f>
        <x:v>781.2</x:v>
      </x:c>
      <x:c r="O171" s="74" t="n">
        <x:f>IF(E171&lt;=0,0,MAX(0,MIN(G171,E171*1.1)-E171)*0.035+MAX(0,G171-E171*1.1)*0.05)</x:f>
        <x:v>1122.2360000000003</x:v>
      </x:c>
      <x:c r="P171" s="74" t="n">
        <x:f>N171+O171</x:f>
        <x:v>1903.4360000000004</x:v>
      </x:c>
      <x:c r="Q171" s="76" t="n">
        <x:f>IF(G171&lt;=0,0,P171/G171)</x:f>
        <x:v>0.021267983139682218</x:v>
      </x:c>
    </x:row>
    <x:row r="172">
      <x:c r="A172" s="56" t="str">
        <x:v>EMP015</x:v>
      </x:c>
      <x:c r="B172" s="56" t="str">
        <x:v>Léa Gauthier</x:v>
      </x:c>
      <x:c r="C172" s="56" t="str">
        <x:v>AE I</x:v>
      </x:c>
      <x:c r="D172" s="56" t="str">
        <x:v>2026-03</x:v>
      </x:c>
      <x:c r="E172" s="72" t="n">
        <x:v>74400</x:v>
      </x:c>
      <x:c r="F172" s="72" t="n">
        <x:v>107111.63</x:v>
      </x:c>
      <x:c r="G172" s="72" t="n">
        <x:v>93267.18</x:v>
      </x:c>
      <x:c r="H172" s="72" t="n">
        <x:v>13844.45</x:v>
      </x:c>
      <x:c r="I172" s="56" t="n">
        <x:v>0</x:v>
      </x:c>
      <x:c r="J172" s="56" t="n">
        <x:v>0</x:v>
      </x:c>
      <x:c r="K172" s="68" t="n">
        <x:f>IF(E172&lt;=0,"",G172/E172)</x:f>
        <x:v>1.253591129032258</x:v>
      </x:c>
      <x:c r="L172" t="str">
        <x:f>IF(K172="","Not Calculated",IF(K172&lt;0.8,"Below 80%",IF(K172&lt;1,"80%-99.99%",IF(K172&lt;1.1,"100%-109.99%",IF(K172&lt;1.75,"110%-174.99%","175%+ Review")))))</x:f>
        <x:v>110%-174.99%</x:v>
      </x:c>
      <x:c r="M172" s="56" t="str">
        <x:v>Ready for Commission Calculation</x:v>
      </x:c>
      <x:c r="N172" s="74" t="n">
        <x:f>IF(E172&lt;=0,0,MIN(G172,E172*0.8)*0.01+MAX(0,MIN(G172,E172)-E172*0.8)*0.02)</x:f>
        <x:v>892.8000000000001</x:v>
      </x:c>
      <x:c r="O172" s="74" t="n">
        <x:f>IF(E172&lt;=0,0,MAX(0,MIN(G172,E172*1.1)-E172)*0.035+MAX(0,G172-E172*1.1)*0.05)</x:f>
        <x:v>831.7589999999998</x:v>
      </x:c>
      <x:c r="P172" s="74" t="n">
        <x:f>N172+O172</x:f>
        <x:v>1724.5589999999997</x:v>
      </x:c>
      <x:c r="Q172" s="76" t="n">
        <x:f>IF(G172&lt;=0,0,P172/G172)</x:f>
        <x:v>0.01849052367617419</x:v>
      </x:c>
    </x:row>
    <x:row r="173">
      <x:c r="A173" s="56" t="str">
        <x:v>EMP015</x:v>
      </x:c>
      <x:c r="B173" s="56" t="str">
        <x:v>Léa Gauthier</x:v>
      </x:c>
      <x:c r="C173" s="56" t="str">
        <x:v>AE I</x:v>
      </x:c>
      <x:c r="D173" s="56" t="str">
        <x:v>2026-04</x:v>
      </x:c>
      <x:c r="E173" s="72" t="n">
        <x:v>74400</x:v>
      </x:c>
      <x:c r="F173" s="72" t="n">
        <x:v>101412.09000000001</x:v>
      </x:c>
      <x:c r="G173" s="72" t="n">
        <x:v>101063.54000000001</x:v>
      </x:c>
      <x:c r="H173" s="72" t="n">
        <x:v>348.55</x:v>
      </x:c>
      <x:c r="I173" s="56" t="n">
        <x:v>0</x:v>
      </x:c>
      <x:c r="J173" s="56" t="n">
        <x:v>0</x:v>
      </x:c>
      <x:c r="K173" s="68" t="n">
        <x:f>IF(E173&lt;=0,"",G173/E173)</x:f>
        <x:v>1.3583809139784948</x:v>
      </x:c>
      <x:c r="L173" t="str">
        <x:f>IF(K173="","Not Calculated",IF(K173&lt;0.8,"Below 80%",IF(K173&lt;1,"80%-99.99%",IF(K173&lt;1.1,"100%-109.99%",IF(K173&lt;1.75,"110%-174.99%","175%+ Review")))))</x:f>
        <x:v>110%-174.99%</x:v>
      </x:c>
      <x:c r="M173" s="56" t="str">
        <x:v>Ready for Commission Calculation</x:v>
      </x:c>
      <x:c r="N173" s="74" t="n">
        <x:f>IF(E173&lt;=0,0,MIN(G173,E173*0.8)*0.01+MAX(0,MIN(G173,E173)-E173*0.8)*0.02)</x:f>
        <x:v>892.8000000000001</x:v>
      </x:c>
      <x:c r="O173" s="74" t="n">
        <x:f>IF(E173&lt;=0,0,MAX(0,MIN(G173,E173*1.1)-E173)*0.035+MAX(0,G173-E173*1.1)*0.05)</x:f>
        <x:v>1221.5770000000005</x:v>
      </x:c>
      <x:c r="P173" s="74" t="n">
        <x:f>N173+O173</x:f>
        <x:v>2114.3770000000004</x:v>
      </x:c>
      <x:c r="Q173" s="76" t="n">
        <x:f>IF(G173&lt;=0,0,P173/G173)</x:f>
        <x:v>0.02092126398897169</x:v>
      </x:c>
    </x:row>
    <x:row r="174">
      <x:c r="A174" s="56" t="str">
        <x:v>EMP015</x:v>
      </x:c>
      <x:c r="B174" s="56" t="str">
        <x:v>Léa Gauthier</x:v>
      </x:c>
      <x:c r="C174" s="56" t="str">
        <x:v>AE I</x:v>
      </x:c>
      <x:c r="D174" s="56" t="str">
        <x:v>2026-05</x:v>
      </x:c>
      <x:c r="E174" s="72" t="n">
        <x:v>74400</x:v>
      </x:c>
      <x:c r="F174" s="72" t="n">
        <x:v>117472.31999999999</x:v>
      </x:c>
      <x:c r="G174" s="72" t="n">
        <x:v>117472.31999999999</x:v>
      </x:c>
      <x:c r="H174" s="72" t="n">
        <x:v>0</x:v>
      </x:c>
      <x:c r="I174" s="56" t="n">
        <x:v>0</x:v>
      </x:c>
      <x:c r="J174" s="56" t="n">
        <x:v>0</x:v>
      </x:c>
      <x:c r="K174" s="68" t="n">
        <x:f>IF(E174&lt;=0,"",G174/E174)</x:f>
        <x:v>1.5789290322580645</x:v>
      </x:c>
      <x:c r="L174" t="str">
        <x:f>IF(K174="","Not Calculated",IF(K174&lt;0.8,"Below 80%",IF(K174&lt;1,"80%-99.99%",IF(K174&lt;1.1,"100%-109.99%",IF(K174&lt;1.75,"110%-174.99%","175%+ Review")))))</x:f>
        <x:v>110%-174.99%</x:v>
      </x:c>
      <x:c r="M174" s="56" t="str">
        <x:v>Ready for Commission Calculation</x:v>
      </x:c>
      <x:c r="N174" s="74" t="n">
        <x:f>IF(E174&lt;=0,0,MIN(G174,E174*0.8)*0.01+MAX(0,MIN(G174,E174)-E174*0.8)*0.02)</x:f>
        <x:v>892.8000000000001</x:v>
      </x:c>
      <x:c r="O174" s="74" t="n">
        <x:f>IF(E174&lt;=0,0,MAX(0,MIN(G174,E174*1.1)-E174)*0.035+MAX(0,G174-E174*1.1)*0.05)</x:f>
        <x:v>2042.0159999999998</x:v>
      </x:c>
      <x:c r="P174" s="74" t="n">
        <x:f>N174+O174</x:f>
        <x:v>2934.816</x:v>
      </x:c>
      <x:c r="Q174" s="76" t="n">
        <x:f>IF(G174&lt;=0,0,P174/G174)</x:f>
        <x:v>0.024983042813830528</x:v>
      </x:c>
    </x:row>
    <x:row r="175">
      <x:c r="A175" s="56" t="str">
        <x:v>EMP015</x:v>
      </x:c>
      <x:c r="B175" s="56" t="str">
        <x:v>Léa Gauthier</x:v>
      </x:c>
      <x:c r="C175" s="56" t="str">
        <x:v>AE I</x:v>
      </x:c>
      <x:c r="D175" s="56" t="str">
        <x:v>2026-06</x:v>
      </x:c>
      <x:c r="E175" s="72" t="n">
        <x:v>83700</x:v>
      </x:c>
      <x:c r="F175" s="72" t="n">
        <x:v>94363.43</x:v>
      </x:c>
      <x:c r="G175" s="72" t="n">
        <x:v>92647.84</x:v>
      </x:c>
      <x:c r="H175" s="72" t="n">
        <x:v>1715.59</x:v>
      </x:c>
      <x:c r="I175" s="56" t="n">
        <x:v>0</x:v>
      </x:c>
      <x:c r="J175" s="56" t="n">
        <x:v>0</x:v>
      </x:c>
      <x:c r="K175" s="68" t="n">
        <x:f>IF(E175&lt;=0,"",G175/E175)</x:f>
        <x:v>1.1069037037037037</x:v>
      </x:c>
      <x:c r="L175" t="str">
        <x:f>IF(K175="","Not Calculated",IF(K175&lt;0.8,"Below 80%",IF(K175&lt;1,"80%-99.99%",IF(K175&lt;1.1,"100%-109.99%",IF(K175&lt;1.75,"110%-174.99%","175%+ Review")))))</x:f>
        <x:v>110%-174.99%</x:v>
      </x:c>
      <x:c r="M175" s="56" t="str">
        <x:v>Ready for Commission Calculation</x:v>
      </x:c>
      <x:c r="N175" s="74" t="n">
        <x:f>IF(E175&lt;=0,0,MIN(G175,E175*0.8)*0.01+MAX(0,MIN(G175,E175)-E175*0.8)*0.02)</x:f>
        <x:v>1004.4000000000001</x:v>
      </x:c>
      <x:c r="O175" s="74" t="n">
        <x:f>IF(E175&lt;=0,0,MAX(0,MIN(G175,E175*1.1)-E175)*0.035+MAX(0,G175-E175*1.1)*0.05)</x:f>
        <x:v>321.84199999999964</x:v>
      </x:c>
      <x:c r="P175" s="74" t="n">
        <x:f>N175+O175</x:f>
        <x:v>1326.2419999999997</x:v>
      </x:c>
      <x:c r="Q175" s="76" t="n">
        <x:f>IF(G175&lt;=0,0,P175/G175)</x:f>
        <x:v>0.014314872316505163</x:v>
      </x:c>
    </x:row>
    <x:row r="176">
      <x:c r="A176" s="56" t="str">
        <x:v>EMP015</x:v>
      </x:c>
      <x:c r="B176" s="56" t="str">
        <x:v>Léa Gauthier</x:v>
      </x:c>
      <x:c r="C176" s="56" t="str">
        <x:v>AE I</x:v>
      </x:c>
      <x:c r="D176" s="56" t="str">
        <x:v>2026-07</x:v>
      </x:c>
      <x:c r="E176" s="72" t="n">
        <x:v>65100.00000000001</x:v>
      </x:c>
      <x:c r="F176" s="72" t="n">
        <x:v>91232.98</x:v>
      </x:c>
      <x:c r="G176" s="72" t="n">
        <x:v>91232.98</x:v>
      </x:c>
      <x:c r="H176" s="72" t="n">
        <x:v>0</x:v>
      </x:c>
      <x:c r="I176" s="56" t="n">
        <x:v>0</x:v>
      </x:c>
      <x:c r="J176" s="56" t="n">
        <x:v>0</x:v>
      </x:c>
      <x:c r="K176" s="68" t="n">
        <x:f>IF(E176&lt;=0,"",G176/E176)</x:f>
        <x:v>1.401428264208909</x:v>
      </x:c>
      <x:c r="L176" t="str">
        <x:f>IF(K176="","Not Calculated",IF(K176&lt;0.8,"Below 80%",IF(K176&lt;1,"80%-99.99%",IF(K176&lt;1.1,"100%-109.99%",IF(K176&lt;1.75,"110%-174.99%","175%+ Review")))))</x:f>
        <x:v>110%-174.99%</x:v>
      </x:c>
      <x:c r="M176" s="56" t="str">
        <x:v>Ready for Commission Calculation</x:v>
      </x:c>
      <x:c r="N176" s="74" t="n">
        <x:f>IF(E176&lt;=0,0,MIN(G176,E176*0.8)*0.01+MAX(0,MIN(G176,E176)-E176*0.8)*0.02)</x:f>
        <x:v>781.2</x:v>
      </x:c>
      <x:c r="O176" s="74" t="n">
        <x:f>IF(E176&lt;=0,0,MAX(0,MIN(G176,E176*1.1)-E176)*0.035+MAX(0,G176-E176*1.1)*0.05)</x:f>
        <x:v>1208.9989999999993</x:v>
      </x:c>
      <x:c r="P176" s="74" t="n">
        <x:f>N176+O176</x:f>
        <x:v>1990.1989999999994</x:v>
      </x:c>
      <x:c r="Q176" s="76" t="n">
        <x:f>IF(G176&lt;=0,0,P176/G176)</x:f>
        <x:v>0.02181446884668241</x:v>
      </x:c>
    </x:row>
    <x:row r="177">
      <x:c r="A177" s="56" t="str">
        <x:v>EMP015</x:v>
      </x:c>
      <x:c r="B177" s="56" t="str">
        <x:v>Léa Gauthier</x:v>
      </x:c>
      <x:c r="C177" s="56" t="str">
        <x:v>AE I</x:v>
      </x:c>
      <x:c r="D177" s="56" t="str">
        <x:v>2026-08</x:v>
      </x:c>
      <x:c r="E177" s="72" t="n">
        <x:v>65100.00000000001</x:v>
      </x:c>
      <x:c r="F177" s="72" t="n">
        <x:v>68893.1</x:v>
      </x:c>
      <x:c r="G177" s="72" t="n">
        <x:v>68322.96</x:v>
      </x:c>
      <x:c r="H177" s="72" t="n">
        <x:v>570.14</x:v>
      </x:c>
      <x:c r="I177" s="56" t="n">
        <x:v>0</x:v>
      </x:c>
      <x:c r="J177" s="56" t="n">
        <x:v>0</x:v>
      </x:c>
      <x:c r="K177" s="68" t="n">
        <x:f>IF(E177&lt;=0,"",G177/E177)</x:f>
        <x:v>1.0495078341013824</x:v>
      </x:c>
      <x:c r="L177" t="str">
        <x:f>IF(K177="","Not Calculated",IF(K177&lt;0.8,"Below 80%",IF(K177&lt;1,"80%-99.99%",IF(K177&lt;1.1,"100%-109.99%",IF(K177&lt;1.75,"110%-174.99%","175%+ Review")))))</x:f>
        <x:v>100%-109.99%</x:v>
      </x:c>
      <x:c r="M177" s="56" t="str">
        <x:v>Ready for Commission Calculation</x:v>
      </x:c>
      <x:c r="N177" s="74" t="n">
        <x:f>IF(E177&lt;=0,0,MIN(G177,E177*0.8)*0.01+MAX(0,MIN(G177,E177)-E177*0.8)*0.02)</x:f>
        <x:v>781.2</x:v>
      </x:c>
      <x:c r="O177" s="74" t="n">
        <x:f>IF(E177&lt;=0,0,MAX(0,MIN(G177,E177*1.1)-E177)*0.035+MAX(0,G177-E177*1.1)*0.05)</x:f>
        <x:v>112.80359999999997</x:v>
      </x:c>
      <x:c r="P177" s="74" t="n">
        <x:f>N177+O177</x:f>
        <x:v>894.0036</x:v>
      </x:c>
      <x:c r="Q177" s="76" t="n">
        <x:f>IF(G177&lt;=0,0,P177/G177)</x:f>
        <x:v>0.013084965873843873</x:v>
      </x:c>
    </x:row>
    <x:row r="178">
      <x:c r="A178" s="56" t="str">
        <x:v>EMP015</x:v>
      </x:c>
      <x:c r="B178" s="56" t="str">
        <x:v>Léa Gauthier</x:v>
      </x:c>
      <x:c r="C178" s="56" t="str">
        <x:v>AE I</x:v>
      </x:c>
      <x:c r="D178" s="56" t="str">
        <x:v>2026-09</x:v>
      </x:c>
      <x:c r="E178" s="72" t="n">
        <x:v>93000</x:v>
      </x:c>
      <x:c r="F178" s="72" t="n">
        <x:v>111343.70999999999</x:v>
      </x:c>
      <x:c r="G178" s="72" t="n">
        <x:v>110693.1</x:v>
      </x:c>
      <x:c r="H178" s="72" t="n">
        <x:v>650.6099999999999</x:v>
      </x:c>
      <x:c r="I178" s="56" t="n">
        <x:v>0</x:v>
      </x:c>
      <x:c r="J178" s="56" t="n">
        <x:v>0</x:v>
      </x:c>
      <x:c r="K178" s="68" t="n">
        <x:f>IF(E178&lt;=0,"",G178/E178)</x:f>
        <x:v>1.1902483870967742</x:v>
      </x:c>
      <x:c r="L178" t="str">
        <x:f>IF(K178="","Not Calculated",IF(K178&lt;0.8,"Below 80%",IF(K178&lt;1,"80%-99.99%",IF(K178&lt;1.1,"100%-109.99%",IF(K178&lt;1.75,"110%-174.99%","175%+ Review")))))</x:f>
        <x:v>110%-174.99%</x:v>
      </x:c>
      <x:c r="M178" s="56" t="str">
        <x:v>Ready for Commission Calculation</x:v>
      </x:c>
      <x:c r="N178" s="74" t="n">
        <x:f>IF(E178&lt;=0,0,MIN(G178,E178*0.8)*0.01+MAX(0,MIN(G178,E178)-E178*0.8)*0.02)</x:f>
        <x:v>1116</x:v>
      </x:c>
      <x:c r="O178" s="74" t="n">
        <x:f>IF(E178&lt;=0,0,MAX(0,MIN(G178,E178*1.1)-E178)*0.035+MAX(0,G178-E178*1.1)*0.05)</x:f>
        <x:v>745.1550000000002</x:v>
      </x:c>
      <x:c r="P178" s="74" t="n">
        <x:f>N178+O178</x:f>
        <x:v>1861.1550000000002</x:v>
      </x:c>
      <x:c r="Q178" s="76" t="n">
        <x:f>IF(G178&lt;=0,0,P178/G178)</x:f>
        <x:v>0.016813649631277832</x:v>
      </x:c>
    </x:row>
    <x:row r="179">
      <x:c r="A179" s="56" t="str">
        <x:v>EMP015</x:v>
      </x:c>
      <x:c r="B179" s="56" t="str">
        <x:v>Léa Gauthier</x:v>
      </x:c>
      <x:c r="C179" s="56" t="str">
        <x:v>AE I</x:v>
      </x:c>
      <x:c r="D179" s="56" t="str">
        <x:v>2026-10</x:v>
      </x:c>
      <x:c r="E179" s="72" t="n">
        <x:v>93000</x:v>
      </x:c>
      <x:c r="F179" s="72" t="n">
        <x:v>112625.68999999999</x:v>
      </x:c>
      <x:c r="G179" s="72" t="n">
        <x:v>112355.87999999999</x:v>
      </x:c>
      <x:c r="H179" s="72" t="n">
        <x:v>269.81</x:v>
      </x:c>
      <x:c r="I179" s="56" t="n">
        <x:v>0</x:v>
      </x:c>
      <x:c r="J179" s="56" t="n">
        <x:v>0</x:v>
      </x:c>
      <x:c r="K179" s="68" t="n">
        <x:f>IF(E179&lt;=0,"",G179/E179)</x:f>
        <x:v>1.2081277419354837</x:v>
      </x:c>
      <x:c r="L179" t="str">
        <x:f>IF(K179="","Not Calculated",IF(K179&lt;0.8,"Below 80%",IF(K179&lt;1,"80%-99.99%",IF(K179&lt;1.1,"100%-109.99%",IF(K179&lt;1.75,"110%-174.99%","175%+ Review")))))</x:f>
        <x:v>110%-174.99%</x:v>
      </x:c>
      <x:c r="M179" s="56" t="str">
        <x:v>Ready for Commission Calculation</x:v>
      </x:c>
      <x:c r="N179" s="74" t="n">
        <x:f>IF(E179&lt;=0,0,MIN(G179,E179*0.8)*0.01+MAX(0,MIN(G179,E179)-E179*0.8)*0.02)</x:f>
        <x:v>1116</x:v>
      </x:c>
      <x:c r="O179" s="74" t="n">
        <x:f>IF(E179&lt;=0,0,MAX(0,MIN(G179,E179*1.1)-E179)*0.035+MAX(0,G179-E179*1.1)*0.05)</x:f>
        <x:v>828.2939999999994</x:v>
      </x:c>
      <x:c r="P179" s="74" t="n">
        <x:f>N179+O179</x:f>
        <x:v>1944.2939999999994</x:v>
      </x:c>
      <x:c r="Q179" s="76" t="n">
        <x:f>IF(G179&lt;=0,0,P179/G179)</x:f>
        <x:v>0.017304781912615516</x:v>
      </x:c>
    </x:row>
    <x:row r="180">
      <x:c r="A180" s="56" t="str">
        <x:v>EMP015</x:v>
      </x:c>
      <x:c r="B180" s="56" t="str">
        <x:v>Léa Gauthier</x:v>
      </x:c>
      <x:c r="C180" s="56" t="str">
        <x:v>AE I</x:v>
      </x:c>
      <x:c r="D180" s="56" t="str">
        <x:v>2026-11</x:v>
      </x:c>
      <x:c r="E180" s="72" t="n">
        <x:v>83700</x:v>
      </x:c>
      <x:c r="F180" s="72" t="n">
        <x:v>121888.74999999999</x:v>
      </x:c>
      <x:c r="G180" s="72" t="n">
        <x:v>120191.68999999999</x:v>
      </x:c>
      <x:c r="H180" s="72" t="n">
        <x:v>1697.06</x:v>
      </x:c>
      <x:c r="I180" s="56" t="n">
        <x:v>0</x:v>
      </x:c>
      <x:c r="J180" s="56" t="n">
        <x:v>0</x:v>
      </x:c>
      <x:c r="K180" s="68" t="n">
        <x:f>IF(E180&lt;=0,"",G180/E180)</x:f>
        <x:v>1.4359819593787335</x:v>
      </x:c>
      <x:c r="L180" t="str">
        <x:f>IF(K180="","Not Calculated",IF(K180&lt;0.8,"Below 80%",IF(K180&lt;1,"80%-99.99%",IF(K180&lt;1.1,"100%-109.99%",IF(K180&lt;1.75,"110%-174.99%","175%+ Review")))))</x:f>
        <x:v>110%-174.99%</x:v>
      </x:c>
      <x:c r="M180" s="56" t="str">
        <x:v>Ready for Commission Calculation</x:v>
      </x:c>
      <x:c r="N180" s="74" t="n">
        <x:f>IF(E180&lt;=0,0,MIN(G180,E180*0.8)*0.01+MAX(0,MIN(G180,E180)-E180*0.8)*0.02)</x:f>
        <x:v>1004.4000000000001</x:v>
      </x:c>
      <x:c r="O180" s="74" t="n">
        <x:f>IF(E180&lt;=0,0,MAX(0,MIN(G180,E180*1.1)-E180)*0.035+MAX(0,G180-E180*1.1)*0.05)</x:f>
        <x:v>1699.0344999999993</x:v>
      </x:c>
      <x:c r="P180" s="74" t="n">
        <x:f>N180+O180</x:f>
        <x:v>2703.4344999999994</x:v>
      </x:c>
      <x:c r="Q180" s="76" t="n">
        <x:f>IF(G180&lt;=0,0,P180/G180)</x:f>
        <x:v>0.022492690634435705</x:v>
      </x:c>
    </x:row>
    <x:row r="181">
      <x:c r="A181" s="56" t="str">
        <x:v>EMP015</x:v>
      </x:c>
      <x:c r="B181" s="56" t="str">
        <x:v>Léa Gauthier</x:v>
      </x:c>
      <x:c r="C181" s="56" t="str">
        <x:v>AE I</x:v>
      </x:c>
      <x:c r="D181" s="56" t="str">
        <x:v>2026-12</x:v>
      </x:c>
      <x:c r="E181" s="72" t="n">
        <x:v>93000</x:v>
      </x:c>
      <x:c r="F181" s="72" t="n">
        <x:v>128574.15999999997</x:v>
      </x:c>
      <x:c r="G181" s="72" t="n">
        <x:v>128574.15999999997</x:v>
      </x:c>
      <x:c r="H181" s="72" t="n">
        <x:v>0</x:v>
      </x:c>
      <x:c r="I181" s="56" t="n">
        <x:v>0</x:v>
      </x:c>
      <x:c r="J181" s="56" t="n">
        <x:v>0</x:v>
      </x:c>
      <x:c r="K181" s="68" t="n">
        <x:f>IF(E181&lt;=0,"",G181/E181)</x:f>
        <x:v>1.3825178494623653</x:v>
      </x:c>
      <x:c r="L181" t="str">
        <x:f>IF(K181="","Not Calculated",IF(K181&lt;0.8,"Below 80%",IF(K181&lt;1,"80%-99.99%",IF(K181&lt;1.1,"100%-109.99%",IF(K181&lt;1.75,"110%-174.99%","175%+ Review")))))</x:f>
        <x:v>110%-174.99%</x:v>
      </x:c>
      <x:c r="M181" s="56" t="str">
        <x:v>Ready for Commission Calculation</x:v>
      </x:c>
      <x:c r="N181" s="74" t="n">
        <x:f>IF(E181&lt;=0,0,MIN(G181,E181*0.8)*0.01+MAX(0,MIN(G181,E181)-E181*0.8)*0.02)</x:f>
        <x:v>1116</x:v>
      </x:c>
      <x:c r="O181" s="74" t="n">
        <x:f>IF(E181&lt;=0,0,MAX(0,MIN(G181,E181*1.1)-E181)*0.035+MAX(0,G181-E181*1.1)*0.05)</x:f>
        <x:v>1639.2079999999987</x:v>
      </x:c>
      <x:c r="P181" s="74" t="n">
        <x:f>N181+O181</x:f>
        <x:v>2755.2079999999987</x:v>
      </x:c>
      <x:c r="Q181" s="76" t="n">
        <x:f>IF(G181&lt;=0,0,P181/G181)</x:f>
        <x:v>0.02142894030962364</x:v>
      </x:c>
    </x:row>
    <x:row r="182">
      <x:c r="A182" s="56" t="str">
        <x:v>EMP016</x:v>
      </x:c>
      <x:c r="B182" s="56" t="str">
        <x:v>Thomas Nguyen</x:v>
      </x:c>
      <x:c r="C182" s="56" t="str">
        <x:v>AE I</x:v>
      </x:c>
      <x:c r="D182" s="56" t="str">
        <x:v>2026-01</x:v>
      </x:c>
      <x:c r="E182" s="72" t="n">
        <x:v>73500</x:v>
      </x:c>
      <x:c r="F182" s="72" t="n">
        <x:v>71567.08000000002</x:v>
      </x:c>
      <x:c r="G182" s="72" t="n">
        <x:v>69683.85</x:v>
      </x:c>
      <x:c r="H182" s="72" t="n">
        <x:v>1883.23</x:v>
      </x:c>
      <x:c r="I182" s="56" t="n">
        <x:v>0</x:v>
      </x:c>
      <x:c r="J182" s="56" t="n">
        <x:v>0</x:v>
      </x:c>
      <x:c r="K182" s="68" t="n">
        <x:f>IF(E182&lt;=0,"",G182/E182)</x:f>
        <x:v>0.9480795918367347</x:v>
      </x:c>
      <x:c r="L182" t="str">
        <x:f>IF(K182="","Not Calculated",IF(K182&lt;0.8,"Below 80%",IF(K182&lt;1,"80%-99.99%",IF(K182&lt;1.1,"100%-109.99%",IF(K182&lt;1.75,"110%-174.99%","175%+ Review")))))</x:f>
        <x:v>80%-99.99%</x:v>
      </x:c>
      <x:c r="M182" s="56" t="str">
        <x:v>Ready for Commission Calculation</x:v>
      </x:c>
      <x:c r="N182" s="74" t="n">
        <x:f>IF(E182&lt;=0,0,MIN(G182,E182*0.8)*0.01+MAX(0,MIN(G182,E182)-E182*0.8)*0.02)</x:f>
        <x:v>805.6770000000001</x:v>
      </x:c>
      <x:c r="O182" s="74" t="n">
        <x:f>IF(E182&lt;=0,0,MAX(0,MIN(G182,E182*1.1)-E182)*0.035+MAX(0,G182-E182*1.1)*0.05)</x:f>
        <x:v>0</x:v>
      </x:c>
      <x:c r="P182" s="74" t="n">
        <x:f>N182+O182</x:f>
        <x:v>805.6770000000001</x:v>
      </x:c>
      <x:c r="Q182" s="76" t="n">
        <x:f>IF(G182&lt;=0,0,P182/G182)</x:f>
        <x:v>0.011561889878357755</x:v>
      </x:c>
    </x:row>
    <x:row r="183">
      <x:c r="A183" s="56" t="str">
        <x:v>EMP016</x:v>
      </x:c>
      <x:c r="B183" s="56" t="str">
        <x:v>Thomas Nguyen</x:v>
      </x:c>
      <x:c r="C183" s="56" t="str">
        <x:v>AE I</x:v>
      </x:c>
      <x:c r="D183" s="56" t="str">
        <x:v>2026-02</x:v>
      </x:c>
      <x:c r="E183" s="72" t="n">
        <x:v>73500</x:v>
      </x:c>
      <x:c r="F183" s="72" t="n">
        <x:v>68834.81</x:v>
      </x:c>
      <x:c r="G183" s="72" t="n">
        <x:v>68834.81</x:v>
      </x:c>
      <x:c r="H183" s="72" t="n">
        <x:v>0</x:v>
      </x:c>
      <x:c r="I183" s="56" t="n">
        <x:v>0</x:v>
      </x:c>
      <x:c r="J183" s="56" t="n">
        <x:v>0</x:v>
      </x:c>
      <x:c r="K183" s="68" t="n">
        <x:f>IF(E183&lt;=0,"",G183/E183)</x:f>
        <x:v>0.9365280272108844</x:v>
      </x:c>
      <x:c r="L183" t="str">
        <x:f>IF(K183="","Not Calculated",IF(K183&lt;0.8,"Below 80%",IF(K183&lt;1,"80%-99.99%",IF(K183&lt;1.1,"100%-109.99%",IF(K183&lt;1.75,"110%-174.99%","175%+ Review")))))</x:f>
        <x:v>80%-99.99%</x:v>
      </x:c>
      <x:c r="M183" s="56" t="str">
        <x:v>Ready for Commission Calculation</x:v>
      </x:c>
      <x:c r="N183" s="74" t="n">
        <x:f>IF(E183&lt;=0,0,MIN(G183,E183*0.8)*0.01+MAX(0,MIN(G183,E183)-E183*0.8)*0.02)</x:f>
        <x:v>788.6962</x:v>
      </x:c>
      <x:c r="O183" s="74" t="n">
        <x:f>IF(E183&lt;=0,0,MAX(0,MIN(G183,E183*1.1)-E183)*0.035+MAX(0,G183-E183*1.1)*0.05)</x:f>
        <x:v>0</x:v>
      </x:c>
      <x:c r="P183" s="74" t="n">
        <x:f>N183+O183</x:f>
        <x:v>788.6962</x:v>
      </x:c>
      <x:c r="Q183" s="76" t="n">
        <x:f>IF(G183&lt;=0,0,P183/G183)</x:f>
        <x:v>0.011457810372397337</x:v>
      </x:c>
    </x:row>
    <x:row r="184">
      <x:c r="A184" s="56" t="str">
        <x:v>EMP016</x:v>
      </x:c>
      <x:c r="B184" s="56" t="str">
        <x:v>Thomas Nguyen</x:v>
      </x:c>
      <x:c r="C184" s="56" t="str">
        <x:v>AE I</x:v>
      </x:c>
      <x:c r="D184" s="56" t="str">
        <x:v>2026-03</x:v>
      </x:c>
      <x:c r="E184" s="72" t="n">
        <x:v>84000</x:v>
      </x:c>
      <x:c r="F184" s="72" t="n">
        <x:v>89625.47</x:v>
      </x:c>
      <x:c r="G184" s="72" t="n">
        <x:v>89503.92</x:v>
      </x:c>
      <x:c r="H184" s="72" t="n">
        <x:v>121.55</x:v>
      </x:c>
      <x:c r="I184" s="56" t="n">
        <x:v>0</x:v>
      </x:c>
      <x:c r="J184" s="56" t="n">
        <x:v>0</x:v>
      </x:c>
      <x:c r="K184" s="68" t="n">
        <x:f>IF(E184&lt;=0,"",G184/E184)</x:f>
        <x:v>1.0655228571428572</x:v>
      </x:c>
      <x:c r="L184" t="str">
        <x:f>IF(K184="","Not Calculated",IF(K184&lt;0.8,"Below 80%",IF(K184&lt;1,"80%-99.99%",IF(K184&lt;1.1,"100%-109.99%",IF(K184&lt;1.75,"110%-174.99%","175%+ Review")))))</x:f>
        <x:v>100%-109.99%</x:v>
      </x:c>
      <x:c r="M184" s="56" t="str">
        <x:v>Ready for Commission Calculation</x:v>
      </x:c>
      <x:c r="N184" s="74" t="n">
        <x:f>IF(E184&lt;=0,0,MIN(G184,E184*0.8)*0.01+MAX(0,MIN(G184,E184)-E184*0.8)*0.02)</x:f>
        <x:v>1008</x:v>
      </x:c>
      <x:c r="O184" s="74" t="n">
        <x:f>IF(E184&lt;=0,0,MAX(0,MIN(G184,E184*1.1)-E184)*0.035+MAX(0,G184-E184*1.1)*0.05)</x:f>
        <x:v>192.63719999999995</x:v>
      </x:c>
      <x:c r="P184" s="74" t="n">
        <x:f>N184+O184</x:f>
        <x:v>1200.6372</x:v>
      </x:c>
      <x:c r="Q184" s="76" t="n">
        <x:f>IF(G184&lt;=0,0,P184/G184)</x:f>
        <x:v>0.013414353248438727</x:v>
      </x:c>
    </x:row>
    <x:row r="185">
      <x:c r="A185" s="56" t="str">
        <x:v>EMP016</x:v>
      </x:c>
      <x:c r="B185" s="56" t="str">
        <x:v>Thomas Nguyen</x:v>
      </x:c>
      <x:c r="C185" s="56" t="str">
        <x:v>AE I</x:v>
      </x:c>
      <x:c r="D185" s="56" t="str">
        <x:v>2026-04</x:v>
      </x:c>
      <x:c r="E185" s="72" t="n">
        <x:v>84000</x:v>
      </x:c>
      <x:c r="F185" s="72" t="n">
        <x:v>78535.88</x:v>
      </x:c>
      <x:c r="G185" s="72" t="n">
        <x:v>78424.76</x:v>
      </x:c>
      <x:c r="H185" s="72" t="n">
        <x:v>111.12</x:v>
      </x:c>
      <x:c r="I185" s="56" t="n">
        <x:v>0</x:v>
      </x:c>
      <x:c r="J185" s="56" t="n">
        <x:v>0</x:v>
      </x:c>
      <x:c r="K185" s="68" t="n">
        <x:f>IF(E185&lt;=0,"",G185/E185)</x:f>
        <x:v>0.9336280952380952</x:v>
      </x:c>
      <x:c r="L185" t="str">
        <x:f>IF(K185="","Not Calculated",IF(K185&lt;0.8,"Below 80%",IF(K185&lt;1,"80%-99.99%",IF(K185&lt;1.1,"100%-109.99%",IF(K185&lt;1.75,"110%-174.99%","175%+ Review")))))</x:f>
        <x:v>80%-99.99%</x:v>
      </x:c>
      <x:c r="M185" s="56" t="str">
        <x:v>Ready for Commission Calculation</x:v>
      </x:c>
      <x:c r="N185" s="74" t="n">
        <x:f>IF(E185&lt;=0,0,MIN(G185,E185*0.8)*0.01+MAX(0,MIN(G185,E185)-E185*0.8)*0.02)</x:f>
        <x:v>896.4951999999998</x:v>
      </x:c>
      <x:c r="O185" s="74" t="n">
        <x:f>IF(E185&lt;=0,0,MAX(0,MIN(G185,E185*1.1)-E185)*0.035+MAX(0,G185-E185*1.1)*0.05)</x:f>
        <x:v>0</x:v>
      </x:c>
      <x:c r="P185" s="74" t="n">
        <x:f>N185+O185</x:f>
        <x:v>896.4951999999998</x:v>
      </x:c>
      <x:c r="Q185" s="76" t="n">
        <x:f>IF(G185&lt;=0,0,P185/G185)</x:f>
        <x:v>0.01143127757101201</x:v>
      </x:c>
    </x:row>
    <x:row r="186">
      <x:c r="A186" s="56" t="str">
        <x:v>EMP016</x:v>
      </x:c>
      <x:c r="B186" s="56" t="str">
        <x:v>Thomas Nguyen</x:v>
      </x:c>
      <x:c r="C186" s="56" t="str">
        <x:v>AE I</x:v>
      </x:c>
      <x:c r="D186" s="56" t="str">
        <x:v>2026-05</x:v>
      </x:c>
      <x:c r="E186" s="72" t="n">
        <x:v>84000</x:v>
      </x:c>
      <x:c r="F186" s="72" t="n">
        <x:v>83862.56999999999</x:v>
      </x:c>
      <x:c r="G186" s="72" t="n">
        <x:v>82545.63999999998</x:v>
      </x:c>
      <x:c r="H186" s="72" t="n">
        <x:v>1316.93</x:v>
      </x:c>
      <x:c r="I186" s="56" t="n">
        <x:v>0</x:v>
      </x:c>
      <x:c r="J186" s="56" t="n">
        <x:v>0</x:v>
      </x:c>
      <x:c r="K186" s="68" t="n">
        <x:f>IF(E186&lt;=0,"",G186/E186)</x:f>
        <x:v>0.9826861904761903</x:v>
      </x:c>
      <x:c r="L186" t="str">
        <x:f>IF(K186="","Not Calculated",IF(K186&lt;0.8,"Below 80%",IF(K186&lt;1,"80%-99.99%",IF(K186&lt;1.1,"100%-109.99%",IF(K186&lt;1.75,"110%-174.99%","175%+ Review")))))</x:f>
        <x:v>80%-99.99%</x:v>
      </x:c>
      <x:c r="M186" s="56" t="str">
        <x:v>Ready for Commission Calculation</x:v>
      </x:c>
      <x:c r="N186" s="74" t="n">
        <x:f>IF(E186&lt;=0,0,MIN(G186,E186*0.8)*0.01+MAX(0,MIN(G186,E186)-E186*0.8)*0.02)</x:f>
        <x:v>978.9127999999997</x:v>
      </x:c>
      <x:c r="O186" s="74" t="n">
        <x:f>IF(E186&lt;=0,0,MAX(0,MIN(G186,E186*1.1)-E186)*0.035+MAX(0,G186-E186*1.1)*0.05)</x:f>
        <x:v>0</x:v>
      </x:c>
      <x:c r="P186" s="74" t="n">
        <x:f>N186+O186</x:f>
        <x:v>978.9127999999997</x:v>
      </x:c>
      <x:c r="Q186" s="76" t="n">
        <x:f>IF(G186&lt;=0,0,P186/G186)</x:f>
        <x:v>0.011859049127246453</x:v>
      </x:c>
    </x:row>
    <x:row r="187">
      <x:c r="A187" s="56" t="str">
        <x:v>EMP016</x:v>
      </x:c>
      <x:c r="B187" s="56" t="str">
        <x:v>Thomas Nguyen</x:v>
      </x:c>
      <x:c r="C187" s="56" t="str">
        <x:v>AE I</x:v>
      </x:c>
      <x:c r="D187" s="56" t="str">
        <x:v>2026-06</x:v>
      </x:c>
      <x:c r="E187" s="72" t="n">
        <x:v>94500</x:v>
      </x:c>
      <x:c r="F187" s="72" t="n">
        <x:v>92052.62999999999</x:v>
      </x:c>
      <x:c r="G187" s="72" t="n">
        <x:v>92052.62999999999</x:v>
      </x:c>
      <x:c r="H187" s="72" t="n">
        <x:v>0</x:v>
      </x:c>
      <x:c r="I187" s="56" t="n">
        <x:v>0</x:v>
      </x:c>
      <x:c r="J187" s="56" t="n">
        <x:v>0</x:v>
      </x:c>
      <x:c r="K187" s="68" t="n">
        <x:f>IF(E187&lt;=0,"",G187/E187)</x:f>
        <x:v>0.9741019047619046</x:v>
      </x:c>
      <x:c r="L187" t="str">
        <x:f>IF(K187="","Not Calculated",IF(K187&lt;0.8,"Below 80%",IF(K187&lt;1,"80%-99.99%",IF(K187&lt;1.1,"100%-109.99%",IF(K187&lt;1.75,"110%-174.99%","175%+ Review")))))</x:f>
        <x:v>80%-99.99%</x:v>
      </x:c>
      <x:c r="M187" s="56" t="str">
        <x:v>Ready for Commission Calculation</x:v>
      </x:c>
      <x:c r="N187" s="74" t="n">
        <x:f>IF(E187&lt;=0,0,MIN(G187,E187*0.8)*0.01+MAX(0,MIN(G187,E187)-E187*0.8)*0.02)</x:f>
        <x:v>1085.0525999999998</x:v>
      </x:c>
      <x:c r="O187" s="74" t="n">
        <x:f>IF(E187&lt;=0,0,MAX(0,MIN(G187,E187*1.1)-E187)*0.035+MAX(0,G187-E187*1.1)*0.05)</x:f>
        <x:v>0</x:v>
      </x:c>
      <x:c r="P187" s="74" t="n">
        <x:f>N187+O187</x:f>
        <x:v>1085.0525999999998</x:v>
      </x:c>
      <x:c r="Q187" s="76" t="n">
        <x:f>IF(G187&lt;=0,0,P187/G187)</x:f>
        <x:v>0.011787306891720528</x:v>
      </x:c>
    </x:row>
    <x:row r="188">
      <x:c r="A188" s="56" t="str">
        <x:v>EMP016</x:v>
      </x:c>
      <x:c r="B188" s="56" t="str">
        <x:v>Thomas Nguyen</x:v>
      </x:c>
      <x:c r="C188" s="56" t="str">
        <x:v>AE I</x:v>
      </x:c>
      <x:c r="D188" s="56" t="str">
        <x:v>2026-07</x:v>
      </x:c>
      <x:c r="E188" s="72" t="n">
        <x:v>73500</x:v>
      </x:c>
      <x:c r="F188" s="72" t="n">
        <x:v>68843.37</x:v>
      </x:c>
      <x:c r="G188" s="72" t="n">
        <x:v>68025.91</x:v>
      </x:c>
      <x:c r="H188" s="72" t="n">
        <x:v>817.46</x:v>
      </x:c>
      <x:c r="I188" s="56" t="n">
        <x:v>0</x:v>
      </x:c>
      <x:c r="J188" s="56" t="n">
        <x:v>0</x:v>
      </x:c>
      <x:c r="K188" s="68" t="n">
        <x:f>IF(E188&lt;=0,"",G188/E188)</x:f>
        <x:v>0.9255225850340136</x:v>
      </x:c>
      <x:c r="L188" t="str">
        <x:f>IF(K188="","Not Calculated",IF(K188&lt;0.8,"Below 80%",IF(K188&lt;1,"80%-99.99%",IF(K188&lt;1.1,"100%-109.99%",IF(K188&lt;1.75,"110%-174.99%","175%+ Review")))))</x:f>
        <x:v>80%-99.99%</x:v>
      </x:c>
      <x:c r="M188" s="56" t="str">
        <x:v>Ready for Commission Calculation</x:v>
      </x:c>
      <x:c r="N188" s="74" t="n">
        <x:f>IF(E188&lt;=0,0,MIN(G188,E188*0.8)*0.01+MAX(0,MIN(G188,E188)-E188*0.8)*0.02)</x:f>
        <x:v>772.5182000000001</x:v>
      </x:c>
      <x:c r="O188" s="74" t="n">
        <x:f>IF(E188&lt;=0,0,MAX(0,MIN(G188,E188*1.1)-E188)*0.035+MAX(0,G188-E188*1.1)*0.05)</x:f>
        <x:v>0</x:v>
      </x:c>
      <x:c r="P188" s="74" t="n">
        <x:f>N188+O188</x:f>
        <x:v>772.5182000000001</x:v>
      </x:c>
      <x:c r="Q188" s="76" t="n">
        <x:f>IF(G188&lt;=0,0,P188/G188)</x:f>
        <x:v>0.01135623470527627</x:v>
      </x:c>
    </x:row>
    <x:row r="189">
      <x:c r="A189" s="56" t="str">
        <x:v>EMP016</x:v>
      </x:c>
      <x:c r="B189" s="56" t="str">
        <x:v>Thomas Nguyen</x:v>
      </x:c>
      <x:c r="C189" s="56" t="str">
        <x:v>AE I</x:v>
      </x:c>
      <x:c r="D189" s="56" t="str">
        <x:v>2026-08</x:v>
      </x:c>
      <x:c r="E189" s="72" t="n">
        <x:v>73500</x:v>
      </x:c>
      <x:c r="F189" s="72" t="n">
        <x:v>70744.72</x:v>
      </x:c>
      <x:c r="G189" s="72" t="n">
        <x:v>70200.2</x:v>
      </x:c>
      <x:c r="H189" s="72" t="n">
        <x:v>544.52</x:v>
      </x:c>
      <x:c r="I189" s="56" t="n">
        <x:v>0</x:v>
      </x:c>
      <x:c r="J189" s="56" t="n">
        <x:v>0</x:v>
      </x:c>
      <x:c r="K189" s="68" t="n">
        <x:f>IF(E189&lt;=0,"",G189/E189)</x:f>
        <x:v>0.9551047619047619</x:v>
      </x:c>
      <x:c r="L189" t="str">
        <x:f>IF(K189="","Not Calculated",IF(K189&lt;0.8,"Below 80%",IF(K189&lt;1,"80%-99.99%",IF(K189&lt;1.1,"100%-109.99%",IF(K189&lt;1.75,"110%-174.99%","175%+ Review")))))</x:f>
        <x:v>80%-99.99%</x:v>
      </x:c>
      <x:c r="M189" s="56" t="str">
        <x:v>Ready for Commission Calculation</x:v>
      </x:c>
      <x:c r="N189" s="74" t="n">
        <x:f>IF(E189&lt;=0,0,MIN(G189,E189*0.8)*0.01+MAX(0,MIN(G189,E189)-E189*0.8)*0.02)</x:f>
        <x:v>816.0039999999999</x:v>
      </x:c>
      <x:c r="O189" s="74" t="n">
        <x:f>IF(E189&lt;=0,0,MAX(0,MIN(G189,E189*1.1)-E189)*0.035+MAX(0,G189-E189*1.1)*0.05)</x:f>
        <x:v>0</x:v>
      </x:c>
      <x:c r="P189" s="74" t="n">
        <x:f>N189+O189</x:f>
        <x:v>816.0039999999999</x:v>
      </x:c>
      <x:c r="Q189" s="76" t="n">
        <x:f>IF(G189&lt;=0,0,P189/G189)</x:f>
        <x:v>0.011623955487306303</x:v>
      </x:c>
    </x:row>
    <x:row r="190">
      <x:c r="A190" s="56" t="str">
        <x:v>EMP016</x:v>
      </x:c>
      <x:c r="B190" s="56" t="str">
        <x:v>Thomas Nguyen</x:v>
      </x:c>
      <x:c r="C190" s="56" t="str">
        <x:v>AE I</x:v>
      </x:c>
      <x:c r="D190" s="56" t="str">
        <x:v>2026-09</x:v>
      </x:c>
      <x:c r="E190" s="72" t="n">
        <x:v>105000</x:v>
      </x:c>
      <x:c r="F190" s="72" t="n">
        <x:v>104399.18000000002</x:v>
      </x:c>
      <x:c r="G190" s="72" t="n">
        <x:v>104228.99000000002</x:v>
      </x:c>
      <x:c r="H190" s="72" t="n">
        <x:v>170.19</x:v>
      </x:c>
      <x:c r="I190" s="56" t="n">
        <x:v>0</x:v>
      </x:c>
      <x:c r="J190" s="56" t="n">
        <x:v>0</x:v>
      </x:c>
      <x:c r="K190" s="68" t="n">
        <x:f>IF(E190&lt;=0,"",G190/E190)</x:f>
        <x:v>0.9926570476190478</x:v>
      </x:c>
      <x:c r="L190" t="str">
        <x:f>IF(K190="","Not Calculated",IF(K190&lt;0.8,"Below 80%",IF(K190&lt;1,"80%-99.99%",IF(K190&lt;1.1,"100%-109.99%",IF(K190&lt;1.75,"110%-174.99%","175%+ Review")))))</x:f>
        <x:v>80%-99.99%</x:v>
      </x:c>
      <x:c r="M190" s="56" t="str">
        <x:v>Ready for Commission Calculation</x:v>
      </x:c>
      <x:c r="N190" s="74" t="n">
        <x:f>IF(E190&lt;=0,0,MIN(G190,E190*0.8)*0.01+MAX(0,MIN(G190,E190)-E190*0.8)*0.02)</x:f>
        <x:v>1244.5798000000004</x:v>
      </x:c>
      <x:c r="O190" s="74" t="n">
        <x:f>IF(E190&lt;=0,0,MAX(0,MIN(G190,E190*1.1)-E190)*0.035+MAX(0,G190-E190*1.1)*0.05)</x:f>
        <x:v>0</x:v>
      </x:c>
      <x:c r="P190" s="74" t="n">
        <x:f>N190+O190</x:f>
        <x:v>1244.5798000000004</x:v>
      </x:c>
      <x:c r="Q190" s="76" t="n">
        <x:f>IF(G190&lt;=0,0,P190/G190)</x:f>
        <x:v>0.011940821838530721</x:v>
      </x:c>
    </x:row>
    <x:row r="191">
      <x:c r="A191" s="56" t="str">
        <x:v>EMP016</x:v>
      </x:c>
      <x:c r="B191" s="56" t="str">
        <x:v>Thomas Nguyen</x:v>
      </x:c>
      <x:c r="C191" s="56" t="str">
        <x:v>AE I</x:v>
      </x:c>
      <x:c r="D191" s="56" t="str">
        <x:v>2026-10</x:v>
      </x:c>
      <x:c r="E191" s="72" t="n">
        <x:v>105000</x:v>
      </x:c>
      <x:c r="F191" s="72" t="n">
        <x:v>98802.14</x:v>
      </x:c>
      <x:c r="G191" s="72" t="n">
        <x:v>97236.95</x:v>
      </x:c>
      <x:c r="H191" s="72" t="n">
        <x:v>1565.19</x:v>
      </x:c>
      <x:c r="I191" s="56" t="n">
        <x:v>0</x:v>
      </x:c>
      <x:c r="J191" s="56" t="n">
        <x:v>0</x:v>
      </x:c>
      <x:c r="K191" s="68" t="n">
        <x:f>IF(E191&lt;=0,"",G191/E191)</x:f>
        <x:v>0.9260661904761904</x:v>
      </x:c>
      <x:c r="L191" t="str">
        <x:f>IF(K191="","Not Calculated",IF(K191&lt;0.8,"Below 80%",IF(K191&lt;1,"80%-99.99%",IF(K191&lt;1.1,"100%-109.99%",IF(K191&lt;1.75,"110%-174.99%","175%+ Review")))))</x:f>
        <x:v>80%-99.99%</x:v>
      </x:c>
      <x:c r="M191" s="56" t="str">
        <x:v>Ready for Commission Calculation</x:v>
      </x:c>
      <x:c r="N191" s="74" t="n">
        <x:f>IF(E191&lt;=0,0,MIN(G191,E191*0.8)*0.01+MAX(0,MIN(G191,E191)-E191*0.8)*0.02)</x:f>
        <x:v>1104.739</x:v>
      </x:c>
      <x:c r="O191" s="74" t="n">
        <x:f>IF(E191&lt;=0,0,MAX(0,MIN(G191,E191*1.1)-E191)*0.035+MAX(0,G191-E191*1.1)*0.05)</x:f>
        <x:v>0</x:v>
      </x:c>
      <x:c r="P191" s="74" t="n">
        <x:f>N191+O191</x:f>
        <x:v>1104.739</x:v>
      </x:c>
      <x:c r="Q191" s="76" t="n">
        <x:f>IF(G191&lt;=0,0,P191/G191)</x:f>
        <x:v>0.011361308638331416</x:v>
      </x:c>
    </x:row>
    <x:row r="192">
      <x:c r="A192" s="56" t="str">
        <x:v>EMP016</x:v>
      </x:c>
      <x:c r="B192" s="56" t="str">
        <x:v>Thomas Nguyen</x:v>
      </x:c>
      <x:c r="C192" s="56" t="str">
        <x:v>AE I</x:v>
      </x:c>
      <x:c r="D192" s="56" t="str">
        <x:v>2026-11</x:v>
      </x:c>
      <x:c r="E192" s="72" t="n">
        <x:v>94500</x:v>
      </x:c>
      <x:c r="F192" s="72" t="n">
        <x:v>94845.37999999999</x:v>
      </x:c>
      <x:c r="G192" s="72" t="n">
        <x:v>94845.37999999999</x:v>
      </x:c>
      <x:c r="H192" s="72" t="n">
        <x:v>0</x:v>
      </x:c>
      <x:c r="I192" s="56" t="n">
        <x:v>0</x:v>
      </x:c>
      <x:c r="J192" s="56" t="n">
        <x:v>0</x:v>
      </x:c>
      <x:c r="K192" s="68" t="n">
        <x:f>IF(E192&lt;=0,"",G192/E192)</x:f>
        <x:v>1.0036548148148148</x:v>
      </x:c>
      <x:c r="L192" t="str">
        <x:f>IF(K192="","Not Calculated",IF(K192&lt;0.8,"Below 80%",IF(K192&lt;1,"80%-99.99%",IF(K192&lt;1.1,"100%-109.99%",IF(K192&lt;1.75,"110%-174.99%","175%+ Review")))))</x:f>
        <x:v>100%-109.99%</x:v>
      </x:c>
      <x:c r="M192" s="56" t="str">
        <x:v>Ready for Commission Calculation</x:v>
      </x:c>
      <x:c r="N192" s="74" t="n">
        <x:f>IF(E192&lt;=0,0,MIN(G192,E192*0.8)*0.01+MAX(0,MIN(G192,E192)-E192*0.8)*0.02)</x:f>
        <x:v>1134</x:v>
      </x:c>
      <x:c r="O192" s="74" t="n">
        <x:f>IF(E192&lt;=0,0,MAX(0,MIN(G192,E192*1.1)-E192)*0.035+MAX(0,G192-E192*1.1)*0.05)</x:f>
        <x:v>12.088299999999656</x:v>
      </x:c>
      <x:c r="P192" s="74" t="n">
        <x:f>N192+O192</x:f>
        <x:v>1146.0882999999997</x:v>
      </x:c>
      <x:c r="Q192" s="76" t="n">
        <x:f>IF(G192&lt;=0,0,P192/G192)</x:f>
        <x:v>0.012083754633066995</x:v>
      </x:c>
    </x:row>
    <x:row r="193">
      <x:c r="A193" s="56" t="str">
        <x:v>EMP016</x:v>
      </x:c>
      <x:c r="B193" s="56" t="str">
        <x:v>Thomas Nguyen</x:v>
      </x:c>
      <x:c r="C193" s="56" t="str">
        <x:v>AE I</x:v>
      </x:c>
      <x:c r="D193" s="56" t="str">
        <x:v>2026-12</x:v>
      </x:c>
      <x:c r="E193" s="72" t="n">
        <x:v>105000</x:v>
      </x:c>
      <x:c r="F193" s="72" t="n">
        <x:v>110652.23</x:v>
      </x:c>
      <x:c r="G193" s="72" t="n">
        <x:v>110079.92</x:v>
      </x:c>
      <x:c r="H193" s="72" t="n">
        <x:v>572.31</x:v>
      </x:c>
      <x:c r="I193" s="56" t="n">
        <x:v>0</x:v>
      </x:c>
      <x:c r="J193" s="56" t="n">
        <x:v>0</x:v>
      </x:c>
      <x:c r="K193" s="68" t="n">
        <x:f>IF(E193&lt;=0,"",G193/E193)</x:f>
        <x:v>1.0483801904761905</x:v>
      </x:c>
      <x:c r="L193" t="str">
        <x:f>IF(K193="","Not Calculated",IF(K193&lt;0.8,"Below 80%",IF(K193&lt;1,"80%-99.99%",IF(K193&lt;1.1,"100%-109.99%",IF(K193&lt;1.75,"110%-174.99%","175%+ Review")))))</x:f>
        <x:v>100%-109.99%</x:v>
      </x:c>
      <x:c r="M193" s="56" t="str">
        <x:v>Ready for Commission Calculation</x:v>
      </x:c>
      <x:c r="N193" s="74" t="n">
        <x:f>IF(E193&lt;=0,0,MIN(G193,E193*0.8)*0.01+MAX(0,MIN(G193,E193)-E193*0.8)*0.02)</x:f>
        <x:v>1260</x:v>
      </x:c>
      <x:c r="O193" s="74" t="n">
        <x:f>IF(E193&lt;=0,0,MAX(0,MIN(G193,E193*1.1)-E193)*0.035+MAX(0,G193-E193*1.1)*0.05)</x:f>
        <x:v>177.79719999999995</x:v>
      </x:c>
      <x:c r="P193" s="74" t="n">
        <x:f>N193+O193</x:f>
        <x:v>1437.7972</x:v>
      </x:c>
      <x:c r="Q193" s="76" t="n">
        <x:f>IF(G193&lt;=0,0,P193/G193)</x:f>
        <x:v>0.013061393939966526</x:v>
      </x:c>
    </x:row>
    <x:row r="194">
      <x:c r="A194" s="56" t="str">
        <x:v>EMP017</x:v>
      </x:c>
      <x:c r="B194" s="56" t="str">
        <x:v>Sarah Cohen</x:v>
      </x:c>
      <x:c r="C194" s="56" t="str">
        <x:v>AE II</x:v>
      </x:c>
      <x:c r="D194" s="56" t="str">
        <x:v>2026-01</x:v>
      </x:c>
      <x:c r="E194" s="72" t="n">
        <x:v>86800.00000000001</x:v>
      </x:c>
      <x:c r="F194" s="72" t="n">
        <x:v>103593.53999999998</x:v>
      </x:c>
      <x:c r="G194" s="72" t="n">
        <x:v>103351.20999999999</x:v>
      </x:c>
      <x:c r="H194" s="72" t="n">
        <x:v>242.33</x:v>
      </x:c>
      <x:c r="I194" s="56" t="n">
        <x:v>0</x:v>
      </x:c>
      <x:c r="J194" s="56" t="n">
        <x:v>0</x:v>
      </x:c>
      <x:c r="K194" s="68" t="n">
        <x:f>IF(E194&lt;=0,"",G194/E194)</x:f>
        <x:v>1.1906821428571426</x:v>
      </x:c>
      <x:c r="L194" t="str">
        <x:f>IF(K194="","Not Calculated",IF(K194&lt;0.8,"Below 80%",IF(K194&lt;1,"80%-99.99%",IF(K194&lt;1.1,"100%-109.99%",IF(K194&lt;1.75,"110%-174.99%","175%+ Review")))))</x:f>
        <x:v>110%-174.99%</x:v>
      </x:c>
      <x:c r="M194" s="56" t="str">
        <x:v>Ready for Commission Calculation</x:v>
      </x:c>
      <x:c r="N194" s="74" t="n">
        <x:f>IF(E194&lt;=0,0,MIN(G194,E194*0.8)*0.01+MAX(0,MIN(G194,E194)-E194*0.8)*0.02)</x:f>
        <x:v>1041.6000000000001</x:v>
      </x:c>
      <x:c r="O194" s="74" t="n">
        <x:f>IF(E194&lt;=0,0,MAX(0,MIN(G194,E194*1.1)-E194)*0.035+MAX(0,G194-E194*1.1)*0.05)</x:f>
        <x:v>697.3604999999986</x:v>
      </x:c>
      <x:c r="P194" s="74" t="n">
        <x:f>N194+O194</x:f>
        <x:v>1738.9604999999988</x:v>
      </x:c>
      <x:c r="Q194" s="76" t="n">
        <x:f>IF(G194&lt;=0,0,P194/G194)</x:f>
        <x:v>0.016825739147127535</x:v>
      </x:c>
    </x:row>
    <x:row r="195">
      <x:c r="A195" s="56" t="str">
        <x:v>EMP017</x:v>
      </x:c>
      <x:c r="B195" s="56" t="str">
        <x:v>Sarah Cohen</x:v>
      </x:c>
      <x:c r="C195" s="56" t="str">
        <x:v>AE II</x:v>
      </x:c>
      <x:c r="D195" s="56" t="str">
        <x:v>2026-02</x:v>
      </x:c>
      <x:c r="E195" s="72" t="n">
        <x:v>86800.00000000001</x:v>
      </x:c>
      <x:c r="F195" s="72" t="n">
        <x:v>103908.18999999999</x:v>
      </x:c>
      <x:c r="G195" s="72" t="n">
        <x:v>103288.76</x:v>
      </x:c>
      <x:c r="H195" s="72" t="n">
        <x:v>619.43</x:v>
      </x:c>
      <x:c r="I195" s="56" t="n">
        <x:v>0</x:v>
      </x:c>
      <x:c r="J195" s="56" t="n">
        <x:v>0</x:v>
      </x:c>
      <x:c r="K195" s="68" t="n">
        <x:f>IF(E195&lt;=0,"",G195/E195)</x:f>
        <x:v>1.1899626728110597</x:v>
      </x:c>
      <x:c r="L195" t="str">
        <x:f>IF(K195="","Not Calculated",IF(K195&lt;0.8,"Below 80%",IF(K195&lt;1,"80%-99.99%",IF(K195&lt;1.1,"100%-109.99%",IF(K195&lt;1.75,"110%-174.99%","175%+ Review")))))</x:f>
        <x:v>110%-174.99%</x:v>
      </x:c>
      <x:c r="M195" s="56" t="str">
        <x:v>Ready for Commission Calculation</x:v>
      </x:c>
      <x:c r="N195" s="74" t="n">
        <x:f>IF(E195&lt;=0,0,MIN(G195,E195*0.8)*0.01+MAX(0,MIN(G195,E195)-E195*0.8)*0.02)</x:f>
        <x:v>1041.6000000000001</x:v>
      </x:c>
      <x:c r="O195" s="74" t="n">
        <x:f>IF(E195&lt;=0,0,MAX(0,MIN(G195,E195*1.1)-E195)*0.035+MAX(0,G195-E195*1.1)*0.05)</x:f>
        <x:v>694.2379999999988</x:v>
      </x:c>
      <x:c r="P195" s="74" t="n">
        <x:f>N195+O195</x:f>
        <x:v>1735.8379999999988</x:v>
      </x:c>
      <x:c r="Q195" s="76" t="n">
        <x:f>IF(G195&lt;=0,0,P195/G195)</x:f>
        <x:v>0.01680568147008444</x:v>
      </x:c>
    </x:row>
    <x:row r="196">
      <x:c r="A196" s="56" t="str">
        <x:v>EMP017</x:v>
      </x:c>
      <x:c r="B196" s="56" t="str">
        <x:v>Sarah Cohen</x:v>
      </x:c>
      <x:c r="C196" s="56" t="str">
        <x:v>AE II</x:v>
      </x:c>
      <x:c r="D196" s="56" t="str">
        <x:v>2026-03</x:v>
      </x:c>
      <x:c r="E196" s="72" t="n">
        <x:v>99200</x:v>
      </x:c>
      <x:c r="F196" s="72" t="n">
        <x:v>111471.97</x:v>
      </x:c>
      <x:c r="G196" s="72" t="n">
        <x:v>111130.16999999998</x:v>
      </x:c>
      <x:c r="H196" s="72" t="n">
        <x:v>341.8</x:v>
      </x:c>
      <x:c r="I196" s="56" t="n">
        <x:v>0</x:v>
      </x:c>
      <x:c r="J196" s="56" t="n">
        <x:v>0</x:v>
      </x:c>
      <x:c r="K196" s="68" t="n">
        <x:f>IF(E196&lt;=0,"",G196/E196)</x:f>
        <x:v>1.120263810483871</x:v>
      </x:c>
      <x:c r="L196" t="str">
        <x:f>IF(K196="","Not Calculated",IF(K196&lt;0.8,"Below 80%",IF(K196&lt;1,"80%-99.99%",IF(K196&lt;1.1,"100%-109.99%",IF(K196&lt;1.75,"110%-174.99%","175%+ Review")))))</x:f>
        <x:v>110%-174.99%</x:v>
      </x:c>
      <x:c r="M196" s="56" t="str">
        <x:v>Ready for Commission Calculation</x:v>
      </x:c>
      <x:c r="N196" s="74" t="n">
        <x:f>IF(E196&lt;=0,0,MIN(G196,E196*0.8)*0.01+MAX(0,MIN(G196,E196)-E196*0.8)*0.02)</x:f>
        <x:v>1190.4</x:v>
      </x:c>
      <x:c r="O196" s="74" t="n">
        <x:f>IF(E196&lt;=0,0,MAX(0,MIN(G196,E196*1.1)-E196)*0.035+MAX(0,G196-E196*1.1)*0.05)</x:f>
        <x:v>447.70849999999905</x:v>
      </x:c>
      <x:c r="P196" s="74" t="n">
        <x:f>N196+O196</x:f>
        <x:v>1638.1084999999991</x:v>
      </x:c>
      <x:c r="Q196" s="76" t="n">
        <x:f>IF(G196&lt;=0,0,P196/G196)</x:f>
        <x:v>0.014740448070942385</x:v>
      </x:c>
    </x:row>
    <x:row r="197">
      <x:c r="A197" s="56" t="str">
        <x:v>EMP017</x:v>
      </x:c>
      <x:c r="B197" s="56" t="str">
        <x:v>Sarah Cohen</x:v>
      </x:c>
      <x:c r="C197" s="56" t="str">
        <x:v>AE II</x:v>
      </x:c>
      <x:c r="D197" s="56" t="str">
        <x:v>2026-04</x:v>
      </x:c>
      <x:c r="E197" s="72" t="n">
        <x:v>99200</x:v>
      </x:c>
      <x:c r="F197" s="72" t="n">
        <x:v>111836.05000000002</x:v>
      </x:c>
      <x:c r="G197" s="72" t="n">
        <x:v>111540.29000000001</x:v>
      </x:c>
      <x:c r="H197" s="72" t="n">
        <x:v>295.76</x:v>
      </x:c>
      <x:c r="I197" s="56" t="n">
        <x:v>0</x:v>
      </x:c>
      <x:c r="J197" s="56" t="n">
        <x:v>0</x:v>
      </x:c>
      <x:c r="K197" s="68" t="n">
        <x:f>IF(E197&lt;=0,"",G197/E197)</x:f>
        <x:v>1.1243980846774195</x:v>
      </x:c>
      <x:c r="L197" t="str">
        <x:f>IF(K197="","Not Calculated",IF(K197&lt;0.8,"Below 80%",IF(K197&lt;1,"80%-99.99%",IF(K197&lt;1.1,"100%-109.99%",IF(K197&lt;1.75,"110%-174.99%","175%+ Review")))))</x:f>
        <x:v>110%-174.99%</x:v>
      </x:c>
      <x:c r="M197" s="56" t="str">
        <x:v>Ready for Commission Calculation</x:v>
      </x:c>
      <x:c r="N197" s="74" t="n">
        <x:f>IF(E197&lt;=0,0,MIN(G197,E197*0.8)*0.01+MAX(0,MIN(G197,E197)-E197*0.8)*0.02)</x:f>
        <x:v>1190.4</x:v>
      </x:c>
      <x:c r="O197" s="74" t="n">
        <x:f>IF(E197&lt;=0,0,MAX(0,MIN(G197,E197*1.1)-E197)*0.035+MAX(0,G197-E197*1.1)*0.05)</x:f>
        <x:v>468.21450000000027</x:v>
      </x:c>
      <x:c r="P197" s="74" t="n">
        <x:f>N197+O197</x:f>
        <x:v>1658.6145000000004</x:v>
      </x:c>
      <x:c r="Q197" s="76" t="n">
        <x:f>IF(G197&lt;=0,0,P197/G197)</x:f>
        <x:v>0.014870093129576767</x:v>
      </x:c>
    </x:row>
    <x:row r="198">
      <x:c r="A198" s="56" t="str">
        <x:v>EMP017</x:v>
      </x:c>
      <x:c r="B198" s="56" t="str">
        <x:v>Sarah Cohen</x:v>
      </x:c>
      <x:c r="C198" s="56" t="str">
        <x:v>AE II</x:v>
      </x:c>
      <x:c r="D198" s="56" t="str">
        <x:v>2026-05</x:v>
      </x:c>
      <x:c r="E198" s="72" t="n">
        <x:v>99200</x:v>
      </x:c>
      <x:c r="F198" s="72" t="n">
        <x:v>109184.67000000001</x:v>
      </x:c>
      <x:c r="G198" s="72" t="n">
        <x:v>109184.67000000001</x:v>
      </x:c>
      <x:c r="H198" s="72" t="n">
        <x:v>0</x:v>
      </x:c>
      <x:c r="I198" s="56" t="n">
        <x:v>0</x:v>
      </x:c>
      <x:c r="J198" s="56" t="n">
        <x:v>0</x:v>
      </x:c>
      <x:c r="K198" s="68" t="n">
        <x:f>IF(E198&lt;=0,"",G198/E198)</x:f>
        <x:v>1.1006519153225807</x:v>
      </x:c>
      <x:c r="L198" t="str">
        <x:f>IF(K198="","Not Calculated",IF(K198&lt;0.8,"Below 80%",IF(K198&lt;1,"80%-99.99%",IF(K198&lt;1.1,"100%-109.99%",IF(K198&lt;1.75,"110%-174.99%","175%+ Review")))))</x:f>
        <x:v>110%-174.99%</x:v>
      </x:c>
      <x:c r="M198" s="56" t="str">
        <x:v>Ready for Commission Calculation</x:v>
      </x:c>
      <x:c r="N198" s="74" t="n">
        <x:f>IF(E198&lt;=0,0,MIN(G198,E198*0.8)*0.01+MAX(0,MIN(G198,E198)-E198*0.8)*0.02)</x:f>
        <x:v>1190.4</x:v>
      </x:c>
      <x:c r="O198" s="74" t="n">
        <x:f>IF(E198&lt;=0,0,MAX(0,MIN(G198,E198*1.1)-E198)*0.035+MAX(0,G198-E198*1.1)*0.05)</x:f>
        <x:v>350.4335000000005</x:v>
      </x:c>
      <x:c r="P198" s="74" t="n">
        <x:f>N198+O198</x:f>
        <x:v>1540.8335000000006</x:v>
      </x:c>
      <x:c r="Q198" s="76" t="n">
        <x:f>IF(G198&lt;=0,0,P198/G198)</x:f>
        <x:v>0.014112178019130346</x:v>
      </x:c>
    </x:row>
    <x:row r="199">
      <x:c r="A199" s="56" t="str">
        <x:v>EMP017</x:v>
      </x:c>
      <x:c r="B199" s="56" t="str">
        <x:v>Sarah Cohen</x:v>
      </x:c>
      <x:c r="C199" s="56" t="str">
        <x:v>AE II</x:v>
      </x:c>
      <x:c r="D199" s="56" t="str">
        <x:v>2026-06</x:v>
      </x:c>
      <x:c r="E199" s="72" t="n">
        <x:v>111600</x:v>
      </x:c>
      <x:c r="F199" s="72" t="n">
        <x:v>145537.7</x:v>
      </x:c>
      <x:c r="G199" s="72" t="n">
        <x:v>136668.44</x:v>
      </x:c>
      <x:c r="H199" s="72" t="n">
        <x:v>8869.26</x:v>
      </x:c>
      <x:c r="I199" s="56" t="n">
        <x:v>0</x:v>
      </x:c>
      <x:c r="J199" s="56" t="n">
        <x:v>0</x:v>
      </x:c>
      <x:c r="K199" s="68" t="n">
        <x:f>IF(E199&lt;=0,"",G199/E199)</x:f>
        <x:v>1.2246275985663082</x:v>
      </x:c>
      <x:c r="L199" t="str">
        <x:f>IF(K199="","Not Calculated",IF(K199&lt;0.8,"Below 80%",IF(K199&lt;1,"80%-99.99%",IF(K199&lt;1.1,"100%-109.99%",IF(K199&lt;1.75,"110%-174.99%","175%+ Review")))))</x:f>
        <x:v>110%-174.99%</x:v>
      </x:c>
      <x:c r="M199" s="56" t="str">
        <x:v>Ready for Commission Calculation</x:v>
      </x:c>
      <x:c r="N199" s="74" t="n">
        <x:f>IF(E199&lt;=0,0,MIN(G199,E199*0.8)*0.01+MAX(0,MIN(G199,E199)-E199*0.8)*0.02)</x:f>
        <x:v>1339.2</x:v>
      </x:c>
      <x:c r="O199" s="74" t="n">
        <x:f>IF(E199&lt;=0,0,MAX(0,MIN(G199,E199*1.1)-E199)*0.035+MAX(0,G199-E199*1.1)*0.05)</x:f>
        <x:v>1086.022</x:v>
      </x:c>
      <x:c r="P199" s="74" t="n">
        <x:f>N199+O199</x:f>
        <x:v>2425.2219999999998</x:v>
      </x:c>
      <x:c r="Q199" s="76" t="n">
        <x:f>IF(G199&lt;=0,0,P199/G199)</x:f>
        <x:v>0.01774529657322495</x:v>
      </x:c>
    </x:row>
    <x:row r="200">
      <x:c r="A200" s="56" t="str">
        <x:v>EMP017</x:v>
      </x:c>
      <x:c r="B200" s="56" t="str">
        <x:v>Sarah Cohen</x:v>
      </x:c>
      <x:c r="C200" s="56" t="str">
        <x:v>AE II</x:v>
      </x:c>
      <x:c r="D200" s="56" t="str">
        <x:v>2026-07</x:v>
      </x:c>
      <x:c r="E200" s="72" t="n">
        <x:v>86800.00000000001</x:v>
      </x:c>
      <x:c r="F200" s="72" t="n">
        <x:v>88333.34999999999</x:v>
      </x:c>
      <x:c r="G200" s="72" t="n">
        <x:v>88333.34999999999</x:v>
      </x:c>
      <x:c r="H200" s="72" t="n">
        <x:v>0</x:v>
      </x:c>
      <x:c r="I200" s="56" t="n">
        <x:v>0</x:v>
      </x:c>
      <x:c r="J200" s="56" t="n">
        <x:v>0</x:v>
      </x:c>
      <x:c r="K200" s="68" t="n">
        <x:f>IF(E200&lt;=0,"",G200/E200)</x:f>
        <x:v>1.017665322580645</x:v>
      </x:c>
      <x:c r="L200" t="str">
        <x:f>IF(K200="","Not Calculated",IF(K200&lt;0.8,"Below 80%",IF(K200&lt;1,"80%-99.99%",IF(K200&lt;1.1,"100%-109.99%",IF(K200&lt;1.75,"110%-174.99%","175%+ Review")))))</x:f>
        <x:v>100%-109.99%</x:v>
      </x:c>
      <x:c r="M200" s="56" t="str">
        <x:v>Ready for Commission Calculation</x:v>
      </x:c>
      <x:c r="N200" s="74" t="n">
        <x:f>IF(E200&lt;=0,0,MIN(G200,E200*0.8)*0.01+MAX(0,MIN(G200,E200)-E200*0.8)*0.02)</x:f>
        <x:v>1041.6000000000001</x:v>
      </x:c>
      <x:c r="O200" s="74" t="n">
        <x:f>IF(E200&lt;=0,0,MAX(0,MIN(G200,E200*1.1)-E200)*0.035+MAX(0,G200-E200*1.1)*0.05)</x:f>
        <x:v>53.66724999999919</x:v>
      </x:c>
      <x:c r="P200" s="74" t="n">
        <x:f>N200+O200</x:f>
        <x:v>1095.2672499999994</x:v>
      </x:c>
      <x:c r="Q200" s="76" t="n">
        <x:f>IF(G200&lt;=0,0,P200/G200)</x:f>
        <x:v>0.0123992495473114</x:v>
      </x:c>
    </x:row>
    <x:row r="201">
      <x:c r="A201" s="56" t="str">
        <x:v>EMP017</x:v>
      </x:c>
      <x:c r="B201" s="56" t="str">
        <x:v>Sarah Cohen</x:v>
      </x:c>
      <x:c r="C201" s="56" t="str">
        <x:v>AE II</x:v>
      </x:c>
      <x:c r="D201" s="56" t="str">
        <x:v>2026-08</x:v>
      </x:c>
      <x:c r="E201" s="72" t="n">
        <x:v>86800.00000000001</x:v>
      </x:c>
      <x:c r="F201" s="72" t="n">
        <x:v>113491.17000000001</x:v>
      </x:c>
      <x:c r="G201" s="72" t="n">
        <x:v>113491.17000000001</x:v>
      </x:c>
      <x:c r="H201" s="72" t="n">
        <x:v>0</x:v>
      </x:c>
      <x:c r="I201" s="56" t="n">
        <x:v>0</x:v>
      </x:c>
      <x:c r="J201" s="56" t="n">
        <x:v>0</x:v>
      </x:c>
      <x:c r="K201" s="68" t="n">
        <x:f>IF(E201&lt;=0,"",G201/E201)</x:f>
        <x:v>1.3075019585253456</x:v>
      </x:c>
      <x:c r="L201" t="str">
        <x:f>IF(K201="","Not Calculated",IF(K201&lt;0.8,"Below 80%",IF(K201&lt;1,"80%-99.99%",IF(K201&lt;1.1,"100%-109.99%",IF(K201&lt;1.75,"110%-174.99%","175%+ Review")))))</x:f>
        <x:v>110%-174.99%</x:v>
      </x:c>
      <x:c r="M201" s="56" t="str">
        <x:v>Ready for Commission Calculation</x:v>
      </x:c>
      <x:c r="N201" s="74" t="n">
        <x:f>IF(E201&lt;=0,0,MIN(G201,E201*0.8)*0.01+MAX(0,MIN(G201,E201)-E201*0.8)*0.02)</x:f>
        <x:v>1041.6000000000001</x:v>
      </x:c>
      <x:c r="O201" s="74" t="n">
        <x:f>IF(E201&lt;=0,0,MAX(0,MIN(G201,E201*1.1)-E201)*0.035+MAX(0,G201-E201*1.1)*0.05)</x:f>
        <x:v>1204.3584999999998</x:v>
      </x:c>
      <x:c r="P201" s="74" t="n">
        <x:f>N201+O201</x:f>
        <x:v>2245.9584999999997</x:v>
      </x:c>
      <x:c r="Q201" s="76" t="n">
        <x:f>IF(G201&lt;=0,0,P201/G201)</x:f>
        <x:v>0.019789720204664376</x:v>
      </x:c>
    </x:row>
    <x:row r="202">
      <x:c r="A202" s="56" t="str">
        <x:v>EMP017</x:v>
      </x:c>
      <x:c r="B202" s="56" t="str">
        <x:v>Sarah Cohen</x:v>
      </x:c>
      <x:c r="C202" s="56" t="str">
        <x:v>AE II</x:v>
      </x:c>
      <x:c r="D202" s="56" t="str">
        <x:v>2026-09</x:v>
      </x:c>
      <x:c r="E202" s="72" t="n">
        <x:v>124000</x:v>
      </x:c>
      <x:c r="F202" s="72" t="n">
        <x:v>144334.68999999997</x:v>
      </x:c>
      <x:c r="G202" s="72" t="n">
        <x:v>143783.28999999998</x:v>
      </x:c>
      <x:c r="H202" s="72" t="n">
        <x:v>551.4</x:v>
      </x:c>
      <x:c r="I202" s="56" t="n">
        <x:v>0</x:v>
      </x:c>
      <x:c r="J202" s="56" t="n">
        <x:v>0</x:v>
      </x:c>
      <x:c r="K202" s="68" t="n">
        <x:f>IF(E202&lt;=0,"",G202/E202)</x:f>
        <x:v>1.1595426612903224</x:v>
      </x:c>
      <x:c r="L202" t="str">
        <x:f>IF(K202="","Not Calculated",IF(K202&lt;0.8,"Below 80%",IF(K202&lt;1,"80%-99.99%",IF(K202&lt;1.1,"100%-109.99%",IF(K202&lt;1.75,"110%-174.99%","175%+ Review")))))</x:f>
        <x:v>110%-174.99%</x:v>
      </x:c>
      <x:c r="M202" s="56" t="str">
        <x:v>Ready for Commission Calculation</x:v>
      </x:c>
      <x:c r="N202" s="74" t="n">
        <x:f>IF(E202&lt;=0,0,MIN(G202,E202*0.8)*0.01+MAX(0,MIN(G202,E202)-E202*0.8)*0.02)</x:f>
        <x:v>1488</x:v>
      </x:c>
      <x:c r="O202" s="74" t="n">
        <x:f>IF(E202&lt;=0,0,MAX(0,MIN(G202,E202*1.1)-E202)*0.035+MAX(0,G202-E202*1.1)*0.05)</x:f>
        <x:v>803.164499999999</x:v>
      </x:c>
      <x:c r="P202" s="74" t="n">
        <x:f>N202+O202</x:f>
        <x:v>2291.164499999999</x:v>
      </x:c>
      <x:c r="Q202" s="76" t="n">
        <x:f>IF(G202&lt;=0,0,P202/G202)</x:f>
        <x:v>0.01593484541910259</x:v>
      </x:c>
    </x:row>
    <x:row r="203">
      <x:c r="A203" s="56" t="str">
        <x:v>EMP017</x:v>
      </x:c>
      <x:c r="B203" s="56" t="str">
        <x:v>Sarah Cohen</x:v>
      </x:c>
      <x:c r="C203" s="56" t="str">
        <x:v>AE II</x:v>
      </x:c>
      <x:c r="D203" s="56" t="str">
        <x:v>2026-10</x:v>
      </x:c>
      <x:c r="E203" s="72" t="n">
        <x:v>124000</x:v>
      </x:c>
      <x:c r="F203" s="72" t="n">
        <x:v>141282.73</x:v>
      </x:c>
      <x:c r="G203" s="72" t="n">
        <x:v>141282.73</x:v>
      </x:c>
      <x:c r="H203" s="72" t="n">
        <x:v>0</x:v>
      </x:c>
      <x:c r="I203" s="56" t="n">
        <x:v>0</x:v>
      </x:c>
      <x:c r="J203" s="56" t="n">
        <x:v>0</x:v>
      </x:c>
      <x:c r="K203" s="68" t="n">
        <x:f>IF(E203&lt;=0,"",G203/E203)</x:f>
        <x:v>1.1393768548387098</x:v>
      </x:c>
      <x:c r="L203" t="str">
        <x:f>IF(K203="","Not Calculated",IF(K203&lt;0.8,"Below 80%",IF(K203&lt;1,"80%-99.99%",IF(K203&lt;1.1,"100%-109.99%",IF(K203&lt;1.75,"110%-174.99%","175%+ Review")))))</x:f>
        <x:v>110%-174.99%</x:v>
      </x:c>
      <x:c r="M203" s="56" t="str">
        <x:v>Ready for Commission Calculation</x:v>
      </x:c>
      <x:c r="N203" s="74" t="n">
        <x:f>IF(E203&lt;=0,0,MIN(G203,E203*0.8)*0.01+MAX(0,MIN(G203,E203)-E203*0.8)*0.02)</x:f>
        <x:v>1488</x:v>
      </x:c>
      <x:c r="O203" s="74" t="n">
        <x:f>IF(E203&lt;=0,0,MAX(0,MIN(G203,E203*1.1)-E203)*0.035+MAX(0,G203-E203*1.1)*0.05)</x:f>
        <x:v>678.1365000000005</x:v>
      </x:c>
      <x:c r="P203" s="74" t="n">
        <x:f>N203+O203</x:f>
        <x:v>2166.1365000000005</x:v>
      </x:c>
      <x:c r="Q203" s="76" t="n">
        <x:f>IF(G203&lt;=0,0,P203/G203)</x:f>
        <x:v>0.0153319269807428</x:v>
      </x:c>
    </x:row>
    <x:row r="204">
      <x:c r="A204" s="56" t="str">
        <x:v>EMP017</x:v>
      </x:c>
      <x:c r="B204" s="56" t="str">
        <x:v>Sarah Cohen</x:v>
      </x:c>
      <x:c r="C204" s="56" t="str">
        <x:v>AE II</x:v>
      </x:c>
      <x:c r="D204" s="56" t="str">
        <x:v>2026-11</x:v>
      </x:c>
      <x:c r="E204" s="72" t="n">
        <x:v>111600</x:v>
      </x:c>
      <x:c r="F204" s="72" t="n">
        <x:v>126407.34000000001</x:v>
      </x:c>
      <x:c r="G204" s="72" t="n">
        <x:v>126407.34000000001</x:v>
      </x:c>
      <x:c r="H204" s="72" t="n">
        <x:v>0</x:v>
      </x:c>
      <x:c r="I204" s="56" t="n">
        <x:v>0</x:v>
      </x:c>
      <x:c r="J204" s="56" t="n">
        <x:v>0</x:v>
      </x:c>
      <x:c r="K204" s="68" t="n">
        <x:f>IF(E204&lt;=0,"",G204/E204)</x:f>
        <x:v>1.1326822580645162</x:v>
      </x:c>
      <x:c r="L204" t="str">
        <x:f>IF(K204="","Not Calculated",IF(K204&lt;0.8,"Below 80%",IF(K204&lt;1,"80%-99.99%",IF(K204&lt;1.1,"100%-109.99%",IF(K204&lt;1.75,"110%-174.99%","175%+ Review")))))</x:f>
        <x:v>110%-174.99%</x:v>
      </x:c>
      <x:c r="M204" s="56" t="str">
        <x:v>Ready for Commission Calculation</x:v>
      </x:c>
      <x:c r="N204" s="74" t="n">
        <x:f>IF(E204&lt;=0,0,MIN(G204,E204*0.8)*0.01+MAX(0,MIN(G204,E204)-E204*0.8)*0.02)</x:f>
        <x:v>1339.2</x:v>
      </x:c>
      <x:c r="O204" s="74" t="n">
        <x:f>IF(E204&lt;=0,0,MAX(0,MIN(G204,E204*1.1)-E204)*0.035+MAX(0,G204-E204*1.1)*0.05)</x:f>
        <x:v>572.9670000000003</x:v>
      </x:c>
      <x:c r="P204" s="74" t="n">
        <x:f>N204+O204</x:f>
        <x:v>1912.1670000000004</x:v>
      </x:c>
      <x:c r="Q204" s="76" t="n">
        <x:f>IF(G204&lt;=0,0,P204/G204)</x:f>
        <x:v>0.015127025060411841</x:v>
      </x:c>
    </x:row>
    <x:row r="205">
      <x:c r="A205" s="56" t="str">
        <x:v>EMP017</x:v>
      </x:c>
      <x:c r="B205" s="56" t="str">
        <x:v>Sarah Cohen</x:v>
      </x:c>
      <x:c r="C205" s="56" t="str">
        <x:v>AE II</x:v>
      </x:c>
      <x:c r="D205" s="56" t="str">
        <x:v>2026-12</x:v>
      </x:c>
      <x:c r="E205" s="72" t="n">
        <x:v>124000</x:v>
      </x:c>
      <x:c r="F205" s="72" t="n">
        <x:v>143250.96000000002</x:v>
      </x:c>
      <x:c r="G205" s="72" t="n">
        <x:v>143250.96000000002</x:v>
      </x:c>
      <x:c r="H205" s="72" t="n">
        <x:v>0</x:v>
      </x:c>
      <x:c r="I205" s="56" t="n">
        <x:v>0</x:v>
      </x:c>
      <x:c r="J205" s="56" t="n">
        <x:v>0</x:v>
      </x:c>
      <x:c r="K205" s="68" t="n">
        <x:f>IF(E205&lt;=0,"",G205/E205)</x:f>
        <x:v>1.155249677419355</x:v>
      </x:c>
      <x:c r="L205" t="str">
        <x:f>IF(K205="","Not Calculated",IF(K205&lt;0.8,"Below 80%",IF(K205&lt;1,"80%-99.99%",IF(K205&lt;1.1,"100%-109.99%",IF(K205&lt;1.75,"110%-174.99%","175%+ Review")))))</x:f>
        <x:v>110%-174.99%</x:v>
      </x:c>
      <x:c r="M205" s="56" t="str">
        <x:v>Ready for Commission Calculation</x:v>
      </x:c>
      <x:c r="N205" s="74" t="n">
        <x:f>IF(E205&lt;=0,0,MIN(G205,E205*0.8)*0.01+MAX(0,MIN(G205,E205)-E205*0.8)*0.02)</x:f>
        <x:v>1488</x:v>
      </x:c>
      <x:c r="O205" s="74" t="n">
        <x:f>IF(E205&lt;=0,0,MAX(0,MIN(G205,E205*1.1)-E205)*0.035+MAX(0,G205-E205*1.1)*0.05)</x:f>
        <x:v>776.5480000000011</x:v>
      </x:c>
      <x:c r="P205" s="74" t="n">
        <x:f>N205+O205</x:f>
        <x:v>2264.548000000001</x:v>
      </x:c>
      <x:c r="Q205" s="76" t="n">
        <x:f>IF(G205&lt;=0,0,P205/G205)</x:f>
        <x:v>0.01580825706159317</x:v>
      </x:c>
    </x:row>
    <x:row r="206">
      <x:c r="A206" s="56" t="str">
        <x:v>EMP018</x:v>
      </x:c>
      <x:c r="B206" s="56" t="str">
        <x:v>Olivier Pelletier</x:v>
      </x:c>
      <x:c r="C206" s="56" t="str">
        <x:v>AE II</x:v>
      </x:c>
      <x:c r="D206" s="56" t="str">
        <x:v>2026-01</x:v>
      </x:c>
      <x:c r="E206" s="72" t="n">
        <x:v>94500.00000000001</x:v>
      </x:c>
      <x:c r="F206" s="72" t="n">
        <x:v>112768.66</x:v>
      </x:c>
      <x:c r="G206" s="72" t="n">
        <x:v>111783.05000000002</x:v>
      </x:c>
      <x:c r="H206" s="72" t="n">
        <x:v>985.6099999999999</x:v>
      </x:c>
      <x:c r="I206" s="56" t="n">
        <x:v>0</x:v>
      </x:c>
      <x:c r="J206" s="56" t="n">
        <x:v>0</x:v>
      </x:c>
      <x:c r="K206" s="68" t="n">
        <x:f>IF(E206&lt;=0,"",G206/E206)</x:f>
        <x:v>1.182889417989418</x:v>
      </x:c>
      <x:c r="L206" t="str">
        <x:f>IF(K206="","Not Calculated",IF(K206&lt;0.8,"Below 80%",IF(K206&lt;1,"80%-99.99%",IF(K206&lt;1.1,"100%-109.99%",IF(K206&lt;1.75,"110%-174.99%","175%+ Review")))))</x:f>
        <x:v>110%-174.99%</x:v>
      </x:c>
      <x:c r="M206" s="56" t="str">
        <x:v>Ready for Commission Calculation</x:v>
      </x:c>
      <x:c r="N206" s="74" t="n">
        <x:f>IF(E206&lt;=0,0,MIN(G206,E206*0.8)*0.01+MAX(0,MIN(G206,E206)-E206*0.8)*0.02)</x:f>
        <x:v>1134</x:v>
      </x:c>
      <x:c r="O206" s="74" t="n">
        <x:f>IF(E206&lt;=0,0,MAX(0,MIN(G206,E206*1.1)-E206)*0.035+MAX(0,G206-E206*1.1)*0.05)</x:f>
        <x:v>722.4025</x:v>
      </x:c>
      <x:c r="P206" s="74" t="n">
        <x:f>N206+O206</x:f>
        <x:v>1856.4025000000001</x:v>
      </x:c>
      <x:c r="Q206" s="76" t="n">
        <x:f>IF(G206&lt;=0,0,P206/G206)</x:f>
        <x:v>0.016607191340726524</x:v>
      </x:c>
    </x:row>
    <x:row r="207">
      <x:c r="A207" s="56" t="str">
        <x:v>EMP018</x:v>
      </x:c>
      <x:c r="B207" s="56" t="str">
        <x:v>Olivier Pelletier</x:v>
      </x:c>
      <x:c r="C207" s="56" t="str">
        <x:v>AE II</x:v>
      </x:c>
      <x:c r="D207" s="56" t="str">
        <x:v>2026-02</x:v>
      </x:c>
      <x:c r="E207" s="72" t="n">
        <x:v>94500.00000000001</x:v>
      </x:c>
      <x:c r="F207" s="72" t="n">
        <x:v>104034.9</x:v>
      </x:c>
      <x:c r="G207" s="72" t="n">
        <x:v>104034.9</x:v>
      </x:c>
      <x:c r="H207" s="72" t="n">
        <x:v>0</x:v>
      </x:c>
      <x:c r="I207" s="56" t="n">
        <x:v>0</x:v>
      </x:c>
      <x:c r="J207" s="56" t="n">
        <x:v>0</x:v>
      </x:c>
      <x:c r="K207" s="68" t="n">
        <x:f>IF(E207&lt;=0,"",G207/E207)</x:f>
        <x:v>1.1008984126984125</x:v>
      </x:c>
      <x:c r="L207" t="str">
        <x:f>IF(K207="","Not Calculated",IF(K207&lt;0.8,"Below 80%",IF(K207&lt;1,"80%-99.99%",IF(K207&lt;1.1,"100%-109.99%",IF(K207&lt;1.75,"110%-174.99%","175%+ Review")))))</x:f>
        <x:v>110%-174.99%</x:v>
      </x:c>
      <x:c r="M207" s="56" t="str">
        <x:v>Ready for Commission Calculation</x:v>
      </x:c>
      <x:c r="N207" s="74" t="n">
        <x:f>IF(E207&lt;=0,0,MIN(G207,E207*0.8)*0.01+MAX(0,MIN(G207,E207)-E207*0.8)*0.02)</x:f>
        <x:v>1134</x:v>
      </x:c>
      <x:c r="O207" s="74" t="n">
        <x:f>IF(E207&lt;=0,0,MAX(0,MIN(G207,E207*1.1)-E207)*0.035+MAX(0,G207-E207*1.1)*0.05)</x:f>
        <x:v>334.9949999999988</x:v>
      </x:c>
      <x:c r="P207" s="74" t="n">
        <x:f>N207+O207</x:f>
        <x:v>1468.9949999999988</x:v>
      </x:c>
      <x:c r="Q207" s="76" t="n">
        <x:f>IF(G207&lt;=0,0,P207/G207)</x:f>
        <x:v>0.014120213505275623</x:v>
      </x:c>
    </x:row>
    <x:row r="208">
      <x:c r="A208" s="56" t="str">
        <x:v>EMP018</x:v>
      </x:c>
      <x:c r="B208" s="56" t="str">
        <x:v>Olivier Pelletier</x:v>
      </x:c>
      <x:c r="C208" s="56" t="str">
        <x:v>AE II</x:v>
      </x:c>
      <x:c r="D208" s="56" t="str">
        <x:v>2026-03</x:v>
      </x:c>
      <x:c r="E208" s="72" t="n">
        <x:v>108000</x:v>
      </x:c>
      <x:c r="F208" s="72" t="n">
        <x:v>111813.11000000002</x:v>
      </x:c>
      <x:c r="G208" s="72" t="n">
        <x:v>111342.77000000002</x:v>
      </x:c>
      <x:c r="H208" s="72" t="n">
        <x:v>470.34</x:v>
      </x:c>
      <x:c r="I208" s="56" t="n">
        <x:v>0</x:v>
      </x:c>
      <x:c r="J208" s="56" t="n">
        <x:v>0</x:v>
      </x:c>
      <x:c r="K208" s="68" t="n">
        <x:f>IF(E208&lt;=0,"",G208/E208)</x:f>
        <x:v>1.0309515740740742</x:v>
      </x:c>
      <x:c r="L208" t="str">
        <x:f>IF(K208="","Not Calculated",IF(K208&lt;0.8,"Below 80%",IF(K208&lt;1,"80%-99.99%",IF(K208&lt;1.1,"100%-109.99%",IF(K208&lt;1.75,"110%-174.99%","175%+ Review")))))</x:f>
        <x:v>100%-109.99%</x:v>
      </x:c>
      <x:c r="M208" s="56" t="str">
        <x:v>Ready for Commission Calculation</x:v>
      </x:c>
      <x:c r="N208" s="74" t="n">
        <x:f>IF(E208&lt;=0,0,MIN(G208,E208*0.8)*0.01+MAX(0,MIN(G208,E208)-E208*0.8)*0.02)</x:f>
        <x:v>1296</x:v>
      </x:c>
      <x:c r="O208" s="74" t="n">
        <x:f>IF(E208&lt;=0,0,MAX(0,MIN(G208,E208*1.1)-E208)*0.035+MAX(0,G208-E208*1.1)*0.05)</x:f>
        <x:v>116.99695000000067</x:v>
      </x:c>
      <x:c r="P208" s="74" t="n">
        <x:f>N208+O208</x:f>
        <x:v>1412.9969500000007</x:v>
      </x:c>
      <x:c r="Q208" s="76" t="n">
        <x:f>IF(G208&lt;=0,0,P208/G208)</x:f>
        <x:v>0.012690513717235528</x:v>
      </x:c>
    </x:row>
    <x:row r="209">
      <x:c r="A209" s="56" t="str">
        <x:v>EMP018</x:v>
      </x:c>
      <x:c r="B209" s="56" t="str">
        <x:v>Olivier Pelletier</x:v>
      </x:c>
      <x:c r="C209" s="56" t="str">
        <x:v>AE II</x:v>
      </x:c>
      <x:c r="D209" s="56" t="str">
        <x:v>2026-04</x:v>
      </x:c>
      <x:c r="E209" s="72" t="n">
        <x:v>108000</x:v>
      </x:c>
      <x:c r="F209" s="72" t="n">
        <x:v>122690.63</x:v>
      </x:c>
      <x:c r="G209" s="72" t="n">
        <x:v>122165.64</x:v>
      </x:c>
      <x:c r="H209" s="72" t="n">
        <x:v>524.99</x:v>
      </x:c>
      <x:c r="I209" s="56" t="n">
        <x:v>0</x:v>
      </x:c>
      <x:c r="J209" s="56" t="n">
        <x:v>0</x:v>
      </x:c>
      <x:c r="K209" s="68" t="n">
        <x:f>IF(E209&lt;=0,"",G209/E209)</x:f>
        <x:v>1.1311633333333333</x:v>
      </x:c>
      <x:c r="L209" t="str">
        <x:f>IF(K209="","Not Calculated",IF(K209&lt;0.8,"Below 80%",IF(K209&lt;1,"80%-99.99%",IF(K209&lt;1.1,"100%-109.99%",IF(K209&lt;1.75,"110%-174.99%","175%+ Review")))))</x:f>
        <x:v>110%-174.99%</x:v>
      </x:c>
      <x:c r="M209" s="56" t="str">
        <x:v>Ready for Commission Calculation</x:v>
      </x:c>
      <x:c r="N209" s="74" t="n">
        <x:f>IF(E209&lt;=0,0,MIN(G209,E209*0.8)*0.01+MAX(0,MIN(G209,E209)-E209*0.8)*0.02)</x:f>
        <x:v>1296</x:v>
      </x:c>
      <x:c r="O209" s="74" t="n">
        <x:f>IF(E209&lt;=0,0,MAX(0,MIN(G209,E209*1.1)-E209)*0.035+MAX(0,G209-E209*1.1)*0.05)</x:f>
        <x:v>546.2819999999998</x:v>
      </x:c>
      <x:c r="P209" s="74" t="n">
        <x:f>N209+O209</x:f>
        <x:v>1842.2819999999997</x:v>
      </x:c>
      <x:c r="Q209" s="76" t="n">
        <x:f>IF(G209&lt;=0,0,P209/G209)</x:f>
        <x:v>0.01508019767260254</x:v>
      </x:c>
    </x:row>
    <x:row r="210">
      <x:c r="A210" s="56" t="str">
        <x:v>EMP018</x:v>
      </x:c>
      <x:c r="B210" s="56" t="str">
        <x:v>Olivier Pelletier</x:v>
      </x:c>
      <x:c r="C210" s="56" t="str">
        <x:v>AE II</x:v>
      </x:c>
      <x:c r="D210" s="56" t="str">
        <x:v>2026-05</x:v>
      </x:c>
      <x:c r="E210" s="72" t="n">
        <x:v>108000</x:v>
      </x:c>
      <x:c r="F210" s="72" t="n">
        <x:v>129543.42000000001</x:v>
      </x:c>
      <x:c r="G210" s="72" t="n">
        <x:v>129393.19</x:v>
      </x:c>
      <x:c r="H210" s="72" t="n">
        <x:v>150.23</x:v>
      </x:c>
      <x:c r="I210" s="56" t="n">
        <x:v>0</x:v>
      </x:c>
      <x:c r="J210" s="56" t="n">
        <x:v>0</x:v>
      </x:c>
      <x:c r="K210" s="68" t="n">
        <x:f>IF(E210&lt;=0,"",G210/E210)</x:f>
        <x:v>1.1980850925925925</x:v>
      </x:c>
      <x:c r="L210" t="str">
        <x:f>IF(K210="","Not Calculated",IF(K210&lt;0.8,"Below 80%",IF(K210&lt;1,"80%-99.99%",IF(K210&lt;1.1,"100%-109.99%",IF(K210&lt;1.75,"110%-174.99%","175%+ Review")))))</x:f>
        <x:v>110%-174.99%</x:v>
      </x:c>
      <x:c r="M210" s="56" t="str">
        <x:v>Ready for Commission Calculation</x:v>
      </x:c>
      <x:c r="N210" s="74" t="n">
        <x:f>IF(E210&lt;=0,0,MIN(G210,E210*0.8)*0.01+MAX(0,MIN(G210,E210)-E210*0.8)*0.02)</x:f>
        <x:v>1296</x:v>
      </x:c>
      <x:c r="O210" s="74" t="n">
        <x:f>IF(E210&lt;=0,0,MAX(0,MIN(G210,E210*1.1)-E210)*0.035+MAX(0,G210-E210*1.1)*0.05)</x:f>
        <x:v>907.6595</x:v>
      </x:c>
      <x:c r="P210" s="74" t="n">
        <x:f>N210+O210</x:f>
        <x:v>2203.6594999999998</x:v>
      </x:c>
      <x:c r="Q210" s="76" t="n">
        <x:f>IF(G210&lt;=0,0,P210/G210)</x:f>
        <x:v>0.017030722405097207</x:v>
      </x:c>
    </x:row>
    <x:row r="211">
      <x:c r="A211" s="56" t="str">
        <x:v>EMP018</x:v>
      </x:c>
      <x:c r="B211" s="56" t="str">
        <x:v>Olivier Pelletier</x:v>
      </x:c>
      <x:c r="C211" s="56" t="str">
        <x:v>AE II</x:v>
      </x:c>
      <x:c r="D211" s="56" t="str">
        <x:v>2026-06</x:v>
      </x:c>
      <x:c r="E211" s="72" t="n">
        <x:v>121500</x:v>
      </x:c>
      <x:c r="F211" s="72" t="n">
        <x:v>149875.67</x:v>
      </x:c>
      <x:c r="G211" s="72" t="n">
        <x:v>149875.67</x:v>
      </x:c>
      <x:c r="H211" s="72" t="n">
        <x:v>0</x:v>
      </x:c>
      <x:c r="I211" s="56" t="n">
        <x:v>0</x:v>
      </x:c>
      <x:c r="J211" s="56" t="n">
        <x:v>0</x:v>
      </x:c>
      <x:c r="K211" s="68" t="n">
        <x:f>IF(E211&lt;=0,"",G211/E211)</x:f>
        <x:v>1.233544609053498</x:v>
      </x:c>
      <x:c r="L211" t="str">
        <x:f>IF(K211="","Not Calculated",IF(K211&lt;0.8,"Below 80%",IF(K211&lt;1,"80%-99.99%",IF(K211&lt;1.1,"100%-109.99%",IF(K211&lt;1.75,"110%-174.99%","175%+ Review")))))</x:f>
        <x:v>110%-174.99%</x:v>
      </x:c>
      <x:c r="M211" s="56" t="str">
        <x:v>Ready for Commission Calculation</x:v>
      </x:c>
      <x:c r="N211" s="74" t="n">
        <x:f>IF(E211&lt;=0,0,MIN(G211,E211*0.8)*0.01+MAX(0,MIN(G211,E211)-E211*0.8)*0.02)</x:f>
        <x:v>1458</x:v>
      </x:c>
      <x:c r="O211" s="74" t="n">
        <x:f>IF(E211&lt;=0,0,MAX(0,MIN(G211,E211*1.1)-E211)*0.035+MAX(0,G211-E211*1.1)*0.05)</x:f>
        <x:v>1236.5335000000007</x:v>
      </x:c>
      <x:c r="P211" s="74" t="n">
        <x:f>N211+O211</x:f>
        <x:v>2694.5335000000005</x:v>
      </x:c>
      <x:c r="Q211" s="76" t="n">
        <x:f>IF(G211&lt;=0,0,P211/G211)</x:f>
        <x:v>0.017978458411562065</x:v>
      </x:c>
    </x:row>
    <x:row r="212">
      <x:c r="A212" s="56" t="str">
        <x:v>EMP018</x:v>
      </x:c>
      <x:c r="B212" s="56" t="str">
        <x:v>Olivier Pelletier</x:v>
      </x:c>
      <x:c r="C212" s="56" t="str">
        <x:v>AE II</x:v>
      </x:c>
      <x:c r="D212" s="56" t="str">
        <x:v>2026-07</x:v>
      </x:c>
      <x:c r="E212" s="72" t="n">
        <x:v>94500.00000000001</x:v>
      </x:c>
      <x:c r="F212" s="72" t="n">
        <x:v>114029.17</x:v>
      </x:c>
      <x:c r="G212" s="72" t="n">
        <x:v>113844.68</x:v>
      </x:c>
      <x:c r="H212" s="72" t="n">
        <x:v>184.49</x:v>
      </x:c>
      <x:c r="I212" s="56" t="n">
        <x:v>0</x:v>
      </x:c>
      <x:c r="J212" s="56" t="n">
        <x:v>0</x:v>
      </x:c>
      <x:c r="K212" s="68" t="n">
        <x:f>IF(E212&lt;=0,"",G212/E212)</x:f>
        <x:v>1.2047056084656083</x:v>
      </x:c>
      <x:c r="L212" t="str">
        <x:f>IF(K212="","Not Calculated",IF(K212&lt;0.8,"Below 80%",IF(K212&lt;1,"80%-99.99%",IF(K212&lt;1.1,"100%-109.99%",IF(K212&lt;1.75,"110%-174.99%","175%+ Review")))))</x:f>
        <x:v>110%-174.99%</x:v>
      </x:c>
      <x:c r="M212" s="56" t="str">
        <x:v>Ready for Commission Calculation</x:v>
      </x:c>
      <x:c r="N212" s="74" t="n">
        <x:f>IF(E212&lt;=0,0,MIN(G212,E212*0.8)*0.01+MAX(0,MIN(G212,E212)-E212*0.8)*0.02)</x:f>
        <x:v>1134</x:v>
      </x:c>
      <x:c r="O212" s="74" t="n">
        <x:f>IF(E212&lt;=0,0,MAX(0,MIN(G212,E212*1.1)-E212)*0.035+MAX(0,G212-E212*1.1)*0.05)</x:f>
        <x:v>825.4839999999988</x:v>
      </x:c>
      <x:c r="P212" s="74" t="n">
        <x:f>N212+O212</x:f>
        <x:v>1959.4839999999988</x:v>
      </x:c>
      <x:c r="Q212" s="76" t="n">
        <x:f>IF(G212&lt;=0,0,P212/G212)</x:f>
        <x:v>0.01721190660819635</x:v>
      </x:c>
    </x:row>
    <x:row r="213">
      <x:c r="A213" s="56" t="str">
        <x:v>EMP018</x:v>
      </x:c>
      <x:c r="B213" s="56" t="str">
        <x:v>Olivier Pelletier</x:v>
      </x:c>
      <x:c r="C213" s="56" t="str">
        <x:v>AE II</x:v>
      </x:c>
      <x:c r="D213" s="56" t="str">
        <x:v>2026-08</x:v>
      </x:c>
      <x:c r="E213" s="72" t="n">
        <x:v>94500.00000000001</x:v>
      </x:c>
      <x:c r="F213" s="72" t="n">
        <x:v>106063.71999999999</x:v>
      </x:c>
      <x:c r="G213" s="72" t="n">
        <x:v>106063.71999999999</x:v>
      </x:c>
      <x:c r="H213" s="72" t="n">
        <x:v>0</x:v>
      </x:c>
      <x:c r="I213" s="56" t="n">
        <x:v>0</x:v>
      </x:c>
      <x:c r="J213" s="56" t="n">
        <x:v>0</x:v>
      </x:c>
      <x:c r="K213" s="68" t="n">
        <x:f>IF(E213&lt;=0,"",G213/E213)</x:f>
        <x:v>1.122367407407407</x:v>
      </x:c>
      <x:c r="L213" t="str">
        <x:f>IF(K213="","Not Calculated",IF(K213&lt;0.8,"Below 80%",IF(K213&lt;1,"80%-99.99%",IF(K213&lt;1.1,"100%-109.99%",IF(K213&lt;1.75,"110%-174.99%","175%+ Review")))))</x:f>
        <x:v>110%-174.99%</x:v>
      </x:c>
      <x:c r="M213" s="56" t="str">
        <x:v>Ready for Commission Calculation</x:v>
      </x:c>
      <x:c r="N213" s="74" t="n">
        <x:f>IF(E213&lt;=0,0,MIN(G213,E213*0.8)*0.01+MAX(0,MIN(G213,E213)-E213*0.8)*0.02)</x:f>
        <x:v>1134</x:v>
      </x:c>
      <x:c r="O213" s="74" t="n">
        <x:f>IF(E213&lt;=0,0,MAX(0,MIN(G213,E213*1.1)-E213)*0.035+MAX(0,G213-E213*1.1)*0.05)</x:f>
        <x:v>436.43599999999844</x:v>
      </x:c>
      <x:c r="P213" s="74" t="n">
        <x:f>N213+O213</x:f>
        <x:v>1570.4359999999983</x:v>
      </x:c>
      <x:c r="Q213" s="76" t="n">
        <x:f>IF(G213&lt;=0,0,P213/G213)</x:f>
        <x:v>0.01480653328018288</x:v>
      </x:c>
    </x:row>
    <x:row r="214">
      <x:c r="A214" s="56" t="str">
        <x:v>EMP018</x:v>
      </x:c>
      <x:c r="B214" s="56" t="str">
        <x:v>Olivier Pelletier</x:v>
      </x:c>
      <x:c r="C214" s="56" t="str">
        <x:v>AE II</x:v>
      </x:c>
      <x:c r="D214" s="56" t="str">
        <x:v>2026-09</x:v>
      </x:c>
      <x:c r="E214" s="72" t="n">
        <x:v>135000</x:v>
      </x:c>
      <x:c r="F214" s="72" t="n">
        <x:v>154832.45</x:v>
      </x:c>
      <x:c r="G214" s="72" t="n">
        <x:v>154195.49000000002</x:v>
      </x:c>
      <x:c r="H214" s="72" t="n">
        <x:v>636.96</x:v>
      </x:c>
      <x:c r="I214" s="56" t="n">
        <x:v>0</x:v>
      </x:c>
      <x:c r="J214" s="56" t="n">
        <x:v>0</x:v>
      </x:c>
      <x:c r="K214" s="68" t="n">
        <x:f>IF(E214&lt;=0,"",G214/E214)</x:f>
        <x:v>1.142188814814815</x:v>
      </x:c>
      <x:c r="L214" t="str">
        <x:f>IF(K214="","Not Calculated",IF(K214&lt;0.8,"Below 80%",IF(K214&lt;1,"80%-99.99%",IF(K214&lt;1.1,"100%-109.99%",IF(K214&lt;1.75,"110%-174.99%","175%+ Review")))))</x:f>
        <x:v>110%-174.99%</x:v>
      </x:c>
      <x:c r="M214" s="56" t="str">
        <x:v>Ready for Commission Calculation</x:v>
      </x:c>
      <x:c r="N214" s="74" t="n">
        <x:f>IF(E214&lt;=0,0,MIN(G214,E214*0.8)*0.01+MAX(0,MIN(G214,E214)-E214*0.8)*0.02)</x:f>
        <x:v>1620</x:v>
      </x:c>
      <x:c r="O214" s="74" t="n">
        <x:f>IF(E214&lt;=0,0,MAX(0,MIN(G214,E214*1.1)-E214)*0.035+MAX(0,G214-E214*1.1)*0.05)</x:f>
        <x:v>757.2745000000011</x:v>
      </x:c>
      <x:c r="P214" s="74" t="n">
        <x:f>N214+O214</x:f>
        <x:v>2377.2745000000014</x:v>
      </x:c>
      <x:c r="Q214" s="76" t="n">
        <x:f>IF(G214&lt;=0,0,P214/G214)</x:f>
        <x:v>0.015417276471575148</x:v>
      </x:c>
    </x:row>
    <x:row r="215">
      <x:c r="A215" s="56" t="str">
        <x:v>EMP018</x:v>
      </x:c>
      <x:c r="B215" s="56" t="str">
        <x:v>Olivier Pelletier</x:v>
      </x:c>
      <x:c r="C215" s="56" t="str">
        <x:v>AE II</x:v>
      </x:c>
      <x:c r="D215" s="56" t="str">
        <x:v>2026-10</x:v>
      </x:c>
      <x:c r="E215" s="72" t="n">
        <x:v>135000</x:v>
      </x:c>
      <x:c r="F215" s="72" t="n">
        <x:v>167447.9</x:v>
      </x:c>
      <x:c r="G215" s="72" t="n">
        <x:v>165904.83</x:v>
      </x:c>
      <x:c r="H215" s="72" t="n">
        <x:v>1543.07</x:v>
      </x:c>
      <x:c r="I215" s="56" t="n">
        <x:v>0</x:v>
      </x:c>
      <x:c r="J215" s="56" t="n">
        <x:v>0</x:v>
      </x:c>
      <x:c r="K215" s="68" t="n">
        <x:f>IF(E215&lt;=0,"",G215/E215)</x:f>
        <x:v>1.2289246666666667</x:v>
      </x:c>
      <x:c r="L215" t="str">
        <x:f>IF(K215="","Not Calculated",IF(K215&lt;0.8,"Below 80%",IF(K215&lt;1,"80%-99.99%",IF(K215&lt;1.1,"100%-109.99%",IF(K215&lt;1.75,"110%-174.99%","175%+ Review")))))</x:f>
        <x:v>110%-174.99%</x:v>
      </x:c>
      <x:c r="M215" s="56" t="str">
        <x:v>Ready for Commission Calculation</x:v>
      </x:c>
      <x:c r="N215" s="74" t="n">
        <x:f>IF(E215&lt;=0,0,MIN(G215,E215*0.8)*0.01+MAX(0,MIN(G215,E215)-E215*0.8)*0.02)</x:f>
        <x:v>1620</x:v>
      </x:c>
      <x:c r="O215" s="74" t="n">
        <x:f>IF(E215&lt;=0,0,MAX(0,MIN(G215,E215*1.1)-E215)*0.035+MAX(0,G215-E215*1.1)*0.05)</x:f>
        <x:v>1342.7414999999994</x:v>
      </x:c>
      <x:c r="P215" s="74" t="n">
        <x:f>N215+O215</x:f>
        <x:v>2962.741499999999</x:v>
      </x:c>
      <x:c r="Q215" s="76" t="n">
        <x:f>IF(G215&lt;=0,0,P215/G215)</x:f>
        <x:v>0.017858078634600327</x:v>
      </x:c>
    </x:row>
    <x:row r="216">
      <x:c r="A216" s="56" t="str">
        <x:v>EMP018</x:v>
      </x:c>
      <x:c r="B216" s="56" t="str">
        <x:v>Olivier Pelletier</x:v>
      </x:c>
      <x:c r="C216" s="56" t="str">
        <x:v>AE II</x:v>
      </x:c>
      <x:c r="D216" s="56" t="str">
        <x:v>2026-11</x:v>
      </x:c>
      <x:c r="E216" s="72" t="n">
        <x:v>121500</x:v>
      </x:c>
      <x:c r="F216" s="72" t="n">
        <x:v>156796.04999999996</x:v>
      </x:c>
      <x:c r="G216" s="72" t="n">
        <x:v>156796.04999999996</x:v>
      </x:c>
      <x:c r="H216" s="72" t="n">
        <x:v>0</x:v>
      </x:c>
      <x:c r="I216" s="56" t="n">
        <x:v>0</x:v>
      </x:c>
      <x:c r="J216" s="56" t="n">
        <x:v>0</x:v>
      </x:c>
      <x:c r="K216" s="68" t="n">
        <x:f>IF(E216&lt;=0,"",G216/E216)</x:f>
        <x:v>1.2905024691358022</x:v>
      </x:c>
      <x:c r="L216" t="str">
        <x:f>IF(K216="","Not Calculated",IF(K216&lt;0.8,"Below 80%",IF(K216&lt;1,"80%-99.99%",IF(K216&lt;1.1,"100%-109.99%",IF(K216&lt;1.75,"110%-174.99%","175%+ Review")))))</x:f>
        <x:v>110%-174.99%</x:v>
      </x:c>
      <x:c r="M216" s="56" t="str">
        <x:v>Ready for Commission Calculation</x:v>
      </x:c>
      <x:c r="N216" s="74" t="n">
        <x:f>IF(E216&lt;=0,0,MIN(G216,E216*0.8)*0.01+MAX(0,MIN(G216,E216)-E216*0.8)*0.02)</x:f>
        <x:v>1458</x:v>
      </x:c>
      <x:c r="O216" s="74" t="n">
        <x:f>IF(E216&lt;=0,0,MAX(0,MIN(G216,E216*1.1)-E216)*0.035+MAX(0,G216-E216*1.1)*0.05)</x:f>
        <x:v>1582.552499999998</x:v>
      </x:c>
      <x:c r="P216" s="74" t="n">
        <x:f>N216+O216</x:f>
        <x:v>3040.552499999998</x:v>
      </x:c>
      <x:c r="Q216" s="76" t="n">
        <x:f>IF(G216&lt;=0,0,P216/G216)</x:f>
        <x:v>0.01939176720331921</x:v>
      </x:c>
    </x:row>
    <x:row r="217">
      <x:c r="A217" s="56" t="str">
        <x:v>EMP018</x:v>
      </x:c>
      <x:c r="B217" s="56" t="str">
        <x:v>Olivier Pelletier</x:v>
      </x:c>
      <x:c r="C217" s="56" t="str">
        <x:v>AE II</x:v>
      </x:c>
      <x:c r="D217" s="56" t="str">
        <x:v>2026-12</x:v>
      </x:c>
      <x:c r="E217" s="72" t="n">
        <x:v>135000</x:v>
      </x:c>
      <x:c r="F217" s="72" t="n">
        <x:v>155949.61000000002</x:v>
      </x:c>
      <x:c r="G217" s="72" t="n">
        <x:v>155396.69</x:v>
      </x:c>
      <x:c r="H217" s="72" t="n">
        <x:v>552.92</x:v>
      </x:c>
      <x:c r="I217" s="56" t="n">
        <x:v>0</x:v>
      </x:c>
      <x:c r="J217" s="56" t="n">
        <x:v>0</x:v>
      </x:c>
      <x:c r="K217" s="68" t="n">
        <x:f>IF(E217&lt;=0,"",G217/E217)</x:f>
        <x:v>1.1510865925925926</x:v>
      </x:c>
      <x:c r="L217" t="str">
        <x:f>IF(K217="","Not Calculated",IF(K217&lt;0.8,"Below 80%",IF(K217&lt;1,"80%-99.99%",IF(K217&lt;1.1,"100%-109.99%",IF(K217&lt;1.75,"110%-174.99%","175%+ Review")))))</x:f>
        <x:v>110%-174.99%</x:v>
      </x:c>
      <x:c r="M217" s="56" t="str">
        <x:v>Ready for Commission Calculation</x:v>
      </x:c>
      <x:c r="N217" s="74" t="n">
        <x:f>IF(E217&lt;=0,0,MIN(G217,E217*0.8)*0.01+MAX(0,MIN(G217,E217)-E217*0.8)*0.02)</x:f>
        <x:v>1620</x:v>
      </x:c>
      <x:c r="O217" s="74" t="n">
        <x:f>IF(E217&lt;=0,0,MAX(0,MIN(G217,E217*1.1)-E217)*0.035+MAX(0,G217-E217*1.1)*0.05)</x:f>
        <x:v>817.3345000000002</x:v>
      </x:c>
      <x:c r="P217" s="74" t="n">
        <x:f>N217+O217</x:f>
        <x:v>2437.3345</x:v>
      </x:c>
      <x:c r="Q217" s="76" t="n">
        <x:f>IF(G217&lt;=0,0,P217/G217)</x:f>
        <x:v>0.01568459727166647</x:v>
      </x:c>
    </x:row>
    <x:row r="218">
      <x:c r="A218" s="56" t="str">
        <x:v>EMP019</x:v>
      </x:c>
      <x:c r="B218" s="56" t="str">
        <x:v>Nadia Benali</x:v>
      </x:c>
      <x:c r="C218" s="56" t="str">
        <x:v>AE II</x:v>
      </x:c>
      <x:c r="D218" s="56" t="str">
        <x:v>2026-01</x:v>
      </x:c>
      <x:c r="E218" s="72" t="n">
        <x:v>95200.00000000001</x:v>
      </x:c>
      <x:c r="F218" s="72" t="n">
        <x:v>85495.82</x:v>
      </x:c>
      <x:c r="G218" s="72" t="n">
        <x:v>85495.82</x:v>
      </x:c>
      <x:c r="H218" s="72" t="n">
        <x:v>0</x:v>
      </x:c>
      <x:c r="I218" s="56" t="n">
        <x:v>0</x:v>
      </x:c>
      <x:c r="J218" s="56" t="n">
        <x:v>0</x:v>
      </x:c>
      <x:c r="K218" s="68" t="n">
        <x:f>IF(E218&lt;=0,"",G218/E218)</x:f>
        <x:v>0.8980653361344537</x:v>
      </x:c>
      <x:c r="L218" t="str">
        <x:f>IF(K218="","Not Calculated",IF(K218&lt;0.8,"Below 80%",IF(K218&lt;1,"80%-99.99%",IF(K218&lt;1.1,"100%-109.99%",IF(K218&lt;1.75,"110%-174.99%","175%+ Review")))))</x:f>
        <x:v>80%-99.99%</x:v>
      </x:c>
      <x:c r="M218" s="56" t="str">
        <x:v>Ready for Commission Calculation</x:v>
      </x:c>
      <x:c r="N218" s="74" t="n">
        <x:f>IF(E218&lt;=0,0,MIN(G218,E218*0.8)*0.01+MAX(0,MIN(G218,E218)-E218*0.8)*0.02)</x:f>
        <x:v>948.3163999999999</x:v>
      </x:c>
      <x:c r="O218" s="74" t="n">
        <x:f>IF(E218&lt;=0,0,MAX(0,MIN(G218,E218*1.1)-E218)*0.035+MAX(0,G218-E218*1.1)*0.05)</x:f>
        <x:v>0</x:v>
      </x:c>
      <x:c r="P218" s="74" t="n">
        <x:f>N218+O218</x:f>
        <x:v>948.3163999999999</x:v>
      </x:c>
      <x:c r="Q218" s="76" t="n">
        <x:f>IF(G218&lt;=0,0,P218/G218)</x:f>
        <x:v>0.011091962156746375</x:v>
      </x:c>
    </x:row>
    <x:row r="219">
      <x:c r="A219" s="56" t="str">
        <x:v>EMP019</x:v>
      </x:c>
      <x:c r="B219" s="56" t="str">
        <x:v>Nadia Benali</x:v>
      </x:c>
      <x:c r="C219" s="56" t="str">
        <x:v>AE II</x:v>
      </x:c>
      <x:c r="D219" s="56" t="str">
        <x:v>2026-02</x:v>
      </x:c>
      <x:c r="E219" s="72" t="n">
        <x:v>95200.00000000001</x:v>
      </x:c>
      <x:c r="F219" s="72" t="n">
        <x:v>105711.9</x:v>
      </x:c>
      <x:c r="G219" s="72" t="n">
        <x:v>105218.41999999998</x:v>
      </x:c>
      <x:c r="H219" s="72" t="n">
        <x:v>493.48</x:v>
      </x:c>
      <x:c r="I219" s="56" t="n">
        <x:v>0</x:v>
      </x:c>
      <x:c r="J219" s="56" t="n">
        <x:v>0</x:v>
      </x:c>
      <x:c r="K219" s="68" t="n">
        <x:f>IF(E219&lt;=0,"",G219/E219)</x:f>
        <x:v>1.1052355042016804</x:v>
      </x:c>
      <x:c r="L219" t="str">
        <x:f>IF(K219="","Not Calculated",IF(K219&lt;0.8,"Below 80%",IF(K219&lt;1,"80%-99.99%",IF(K219&lt;1.1,"100%-109.99%",IF(K219&lt;1.75,"110%-174.99%","175%+ Review")))))</x:f>
        <x:v>110%-174.99%</x:v>
      </x:c>
      <x:c r="M219" s="56" t="str">
        <x:v>Ready for Commission Calculation</x:v>
      </x:c>
      <x:c r="N219" s="74" t="n">
        <x:f>IF(E219&lt;=0,0,MIN(G219,E219*0.8)*0.01+MAX(0,MIN(G219,E219)-E219*0.8)*0.02)</x:f>
        <x:v>1142.4</x:v>
      </x:c>
      <x:c r="O219" s="74" t="n">
        <x:f>IF(E219&lt;=0,0,MAX(0,MIN(G219,E219*1.1)-E219)*0.035+MAX(0,G219-E219*1.1)*0.05)</x:f>
        <x:v>358.1209999999983</x:v>
      </x:c>
      <x:c r="P219" s="74" t="n">
        <x:f>N219+O219</x:f>
        <x:v>1500.5209999999984</x:v>
      </x:c>
      <x:c r="Q219" s="76" t="n">
        <x:f>IF(G219&lt;=0,0,P219/G219)</x:f>
        <x:v>0.014261010572103236</x:v>
      </x:c>
    </x:row>
    <x:row r="220">
      <x:c r="A220" s="56" t="str">
        <x:v>EMP019</x:v>
      </x:c>
      <x:c r="B220" s="56" t="str">
        <x:v>Nadia Benali</x:v>
      </x:c>
      <x:c r="C220" s="56" t="str">
        <x:v>AE II</x:v>
      </x:c>
      <x:c r="D220" s="56" t="str">
        <x:v>2026-03</x:v>
      </x:c>
      <x:c r="E220" s="72" t="n">
        <x:v>108800</x:v>
      </x:c>
      <x:c r="F220" s="72" t="n">
        <x:v>127403.63</x:v>
      </x:c>
      <x:c r="G220" s="72" t="n">
        <x:v>127245.47</x:v>
      </x:c>
      <x:c r="H220" s="72" t="n">
        <x:v>158.16</x:v>
      </x:c>
      <x:c r="I220" s="56" t="n">
        <x:v>0</x:v>
      </x:c>
      <x:c r="J220" s="56" t="n">
        <x:v>0</x:v>
      </x:c>
      <x:c r="K220" s="68" t="n">
        <x:f>IF(E220&lt;=0,"",G220/E220)</x:f>
        <x:v>1.1695355698529413</x:v>
      </x:c>
      <x:c r="L220" t="str">
        <x:f>IF(K220="","Not Calculated",IF(K220&lt;0.8,"Below 80%",IF(K220&lt;1,"80%-99.99%",IF(K220&lt;1.1,"100%-109.99%",IF(K220&lt;1.75,"110%-174.99%","175%+ Review")))))</x:f>
        <x:v>110%-174.99%</x:v>
      </x:c>
      <x:c r="M220" s="56" t="str">
        <x:v>Ready for Commission Calculation</x:v>
      </x:c>
      <x:c r="N220" s="74" t="n">
        <x:f>IF(E220&lt;=0,0,MIN(G220,E220*0.8)*0.01+MAX(0,MIN(G220,E220)-E220*0.8)*0.02)</x:f>
        <x:v>1305.6</x:v>
      </x:c>
      <x:c r="O220" s="74" t="n">
        <x:f>IF(E220&lt;=0,0,MAX(0,MIN(G220,E220*1.1)-E220)*0.035+MAX(0,G220-E220*1.1)*0.05)</x:f>
        <x:v>759.0734999999999</x:v>
      </x:c>
      <x:c r="P220" s="74" t="n">
        <x:f>N220+O220</x:f>
        <x:v>2064.6735</x:v>
      </x:c>
      <x:c r="Q220" s="76" t="n">
        <x:f>IF(G220&lt;=0,0,P220/G220)</x:f>
        <x:v>0.016225909653208085</x:v>
      </x:c>
    </x:row>
    <x:row r="221">
      <x:c r="A221" s="56" t="str">
        <x:v>EMP019</x:v>
      </x:c>
      <x:c r="B221" s="56" t="str">
        <x:v>Nadia Benali</x:v>
      </x:c>
      <x:c r="C221" s="56" t="str">
        <x:v>AE II</x:v>
      </x:c>
      <x:c r="D221" s="56" t="str">
        <x:v>2026-04</x:v>
      </x:c>
      <x:c r="E221" s="72" t="n">
        <x:v>108800</x:v>
      </x:c>
      <x:c r="F221" s="72" t="n">
        <x:v>114041.98</x:v>
      </x:c>
      <x:c r="G221" s="72" t="n">
        <x:v>114041.98</x:v>
      </x:c>
      <x:c r="H221" s="72" t="n">
        <x:v>0</x:v>
      </x:c>
      <x:c r="I221" s="56" t="n">
        <x:v>0</x:v>
      </x:c>
      <x:c r="J221" s="56" t="n">
        <x:v>0</x:v>
      </x:c>
      <x:c r="K221" s="68" t="n">
        <x:f>IF(E221&lt;=0,"",G221/E221)</x:f>
        <x:v>1.0481799632352942</x:v>
      </x:c>
      <x:c r="L221" t="str">
        <x:f>IF(K221="","Not Calculated",IF(K221&lt;0.8,"Below 80%",IF(K221&lt;1,"80%-99.99%",IF(K221&lt;1.1,"100%-109.99%",IF(K221&lt;1.75,"110%-174.99%","175%+ Review")))))</x:f>
        <x:v>100%-109.99%</x:v>
      </x:c>
      <x:c r="M221" s="56" t="str">
        <x:v>Ready for Commission Calculation</x:v>
      </x:c>
      <x:c r="N221" s="74" t="n">
        <x:f>IF(E221&lt;=0,0,MIN(G221,E221*0.8)*0.01+MAX(0,MIN(G221,E221)-E221*0.8)*0.02)</x:f>
        <x:v>1305.6</x:v>
      </x:c>
      <x:c r="O221" s="74" t="n">
        <x:f>IF(E221&lt;=0,0,MAX(0,MIN(G221,E221*1.1)-E221)*0.035+MAX(0,G221-E221*1.1)*0.05)</x:f>
        <x:v>183.46929999999986</x:v>
      </x:c>
      <x:c r="P221" s="74" t="n">
        <x:f>N221+O221</x:f>
        <x:v>1489.0692999999997</x:v>
      </x:c>
      <x:c r="Q221" s="76" t="n">
        <x:f>IF(G221&lt;=0,0,P221/G221)</x:f>
        <x:v>0.013057203145718793</x:v>
      </x:c>
    </x:row>
    <x:row r="222">
      <x:c r="A222" s="56" t="str">
        <x:v>EMP019</x:v>
      </x:c>
      <x:c r="B222" s="56" t="str">
        <x:v>Nadia Benali</x:v>
      </x:c>
      <x:c r="C222" s="56" t="str">
        <x:v>AE II</x:v>
      </x:c>
      <x:c r="D222" s="56" t="str">
        <x:v>2026-05</x:v>
      </x:c>
      <x:c r="E222" s="72" t="n">
        <x:v>108800</x:v>
      </x:c>
      <x:c r="F222" s="72" t="n">
        <x:v>123970.31000000003</x:v>
      </x:c>
      <x:c r="G222" s="72" t="n">
        <x:v>123970.31000000003</x:v>
      </x:c>
      <x:c r="H222" s="72" t="n">
        <x:v>0</x:v>
      </x:c>
      <x:c r="I222" s="56" t="n">
        <x:v>0</x:v>
      </x:c>
      <x:c r="J222" s="56" t="n">
        <x:v>0</x:v>
      </x:c>
      <x:c r="K222" s="68" t="n">
        <x:f>IF(E222&lt;=0,"",G222/E222)</x:f>
        <x:v>1.1394329963235297</x:v>
      </x:c>
      <x:c r="L222" t="str">
        <x:f>IF(K222="","Not Calculated",IF(K222&lt;0.8,"Below 80%",IF(K222&lt;1,"80%-99.99%",IF(K222&lt;1.1,"100%-109.99%",IF(K222&lt;1.75,"110%-174.99%","175%+ Review")))))</x:f>
        <x:v>110%-174.99%</x:v>
      </x:c>
      <x:c r="M222" s="56" t="str">
        <x:v>Ready for Commission Calculation</x:v>
      </x:c>
      <x:c r="N222" s="74" t="n">
        <x:f>IF(E222&lt;=0,0,MIN(G222,E222*0.8)*0.01+MAX(0,MIN(G222,E222)-E222*0.8)*0.02)</x:f>
        <x:v>1305.6</x:v>
      </x:c>
      <x:c r="O222" s="74" t="n">
        <x:f>IF(E222&lt;=0,0,MAX(0,MIN(G222,E222*1.1)-E222)*0.035+MAX(0,G222-E222*1.1)*0.05)</x:f>
        <x:v>595.3155000000012</x:v>
      </x:c>
      <x:c r="P222" s="74" t="n">
        <x:f>N222+O222</x:f>
        <x:v>1900.915500000001</x:v>
      </x:c>
      <x:c r="Q222" s="76" t="n">
        <x:f>IF(G222&lt;=0,0,P222/G222)</x:f>
        <x:v>0.015333635126023324</x:v>
      </x:c>
    </x:row>
    <x:row r="223">
      <x:c r="A223" s="56" t="str">
        <x:v>EMP019</x:v>
      </x:c>
      <x:c r="B223" s="56" t="str">
        <x:v>Nadia Benali</x:v>
      </x:c>
      <x:c r="C223" s="56" t="str">
        <x:v>AE II</x:v>
      </x:c>
      <x:c r="D223" s="56" t="str">
        <x:v>2026-06</x:v>
      </x:c>
      <x:c r="E223" s="72" t="n">
        <x:v>122400</x:v>
      </x:c>
      <x:c r="F223" s="72" t="n">
        <x:v>131498.07</x:v>
      </x:c>
      <x:c r="G223" s="72" t="n">
        <x:v>131347.34</x:v>
      </x:c>
      <x:c r="H223" s="72" t="n">
        <x:v>150.73</x:v>
      </x:c>
      <x:c r="I223" s="56" t="n">
        <x:v>0</x:v>
      </x:c>
      <x:c r="J223" s="56" t="n">
        <x:v>0</x:v>
      </x:c>
      <x:c r="K223" s="68" t="n">
        <x:f>IF(E223&lt;=0,"",G223/E223)</x:f>
        <x:v>1.073099183006536</x:v>
      </x:c>
      <x:c r="L223" t="str">
        <x:f>IF(K223="","Not Calculated",IF(K223&lt;0.8,"Below 80%",IF(K223&lt;1,"80%-99.99%",IF(K223&lt;1.1,"100%-109.99%",IF(K223&lt;1.75,"110%-174.99%","175%+ Review")))))</x:f>
        <x:v>100%-109.99%</x:v>
      </x:c>
      <x:c r="M223" s="56" t="str">
        <x:v>Ready for Commission Calculation</x:v>
      </x:c>
      <x:c r="N223" s="74" t="n">
        <x:f>IF(E223&lt;=0,0,MIN(G223,E223*0.8)*0.01+MAX(0,MIN(G223,E223)-E223*0.8)*0.02)</x:f>
        <x:v>1468.8000000000002</x:v>
      </x:c>
      <x:c r="O223" s="74" t="n">
        <x:f>IF(E223&lt;=0,0,MAX(0,MIN(G223,E223*1.1)-E223)*0.035+MAX(0,G223-E223*1.1)*0.05)</x:f>
        <x:v>313.1568999999999</x:v>
      </x:c>
      <x:c r="P223" s="74" t="n">
        <x:f>N223+O223</x:f>
        <x:v>1781.9569000000001</x:v>
      </x:c>
      <x:c r="Q223" s="76" t="n">
        <x:f>IF(G223&lt;=0,0,P223/G223)</x:f>
        <x:v>0.0135667528554442</x:v>
      </x:c>
    </x:row>
    <x:row r="224">
      <x:c r="A224" s="56" t="str">
        <x:v>EMP019</x:v>
      </x:c>
      <x:c r="B224" s="56" t="str">
        <x:v>Nadia Benali</x:v>
      </x:c>
      <x:c r="C224" s="56" t="str">
        <x:v>AE II</x:v>
      </x:c>
      <x:c r="D224" s="56" t="str">
        <x:v>2026-07</x:v>
      </x:c>
      <x:c r="E224" s="72" t="n">
        <x:v>95200.00000000001</x:v>
      </x:c>
      <x:c r="F224" s="72" t="n">
        <x:v>83752.98999999999</x:v>
      </x:c>
      <x:c r="G224" s="72" t="n">
        <x:v>83752.98999999999</x:v>
      </x:c>
      <x:c r="H224" s="72" t="n">
        <x:v>0</x:v>
      </x:c>
      <x:c r="I224" s="56" t="n">
        <x:v>0</x:v>
      </x:c>
      <x:c r="J224" s="56" t="n">
        <x:v>0</x:v>
      </x:c>
      <x:c r="K224" s="68" t="n">
        <x:f>IF(E224&lt;=0,"",G224/E224)</x:f>
        <x:v>0.8797582983193275</x:v>
      </x:c>
      <x:c r="L224" t="str">
        <x:f>IF(K224="","Not Calculated",IF(K224&lt;0.8,"Below 80%",IF(K224&lt;1,"80%-99.99%",IF(K224&lt;1.1,"100%-109.99%",IF(K224&lt;1.75,"110%-174.99%","175%+ Review")))))</x:f>
        <x:v>80%-99.99%</x:v>
      </x:c>
      <x:c r="M224" s="56" t="str">
        <x:v>Ready for Commission Calculation</x:v>
      </x:c>
      <x:c r="N224" s="74" t="n">
        <x:f>IF(E224&lt;=0,0,MIN(G224,E224*0.8)*0.01+MAX(0,MIN(G224,E224)-E224*0.8)*0.02)</x:f>
        <x:v>913.4597999999996</x:v>
      </x:c>
      <x:c r="O224" s="74" t="n">
        <x:f>IF(E224&lt;=0,0,MAX(0,MIN(G224,E224*1.1)-E224)*0.035+MAX(0,G224-E224*1.1)*0.05)</x:f>
        <x:v>0</x:v>
      </x:c>
      <x:c r="P224" s="74" t="n">
        <x:f>N224+O224</x:f>
        <x:v>913.4597999999996</x:v>
      </x:c>
      <x:c r="Q224" s="76" t="n">
        <x:f>IF(G224&lt;=0,0,P224/G224)</x:f>
        <x:v>0.010906593304907678</x:v>
      </x:c>
    </x:row>
    <x:row r="225">
      <x:c r="A225" s="56" t="str">
        <x:v>EMP019</x:v>
      </x:c>
      <x:c r="B225" s="56" t="str">
        <x:v>Nadia Benali</x:v>
      </x:c>
      <x:c r="C225" s="56" t="str">
        <x:v>AE II</x:v>
      </x:c>
      <x:c r="D225" s="56" t="str">
        <x:v>2026-08</x:v>
      </x:c>
      <x:c r="E225" s="72" t="n">
        <x:v>95200.00000000001</x:v>
      </x:c>
      <x:c r="F225" s="72" t="n">
        <x:v>105579.46999999999</x:v>
      </x:c>
      <x:c r="G225" s="72" t="n">
        <x:v>103798.00999999998</x:v>
      </x:c>
      <x:c r="H225" s="72" t="n">
        <x:v>1781.46</x:v>
      </x:c>
      <x:c r="I225" s="56" t="n">
        <x:v>0</x:v>
      </x:c>
      <x:c r="J225" s="56" t="n">
        <x:v>0</x:v>
      </x:c>
      <x:c r="K225" s="68" t="n">
        <x:f>IF(E225&lt;=0,"",G225/E225)</x:f>
        <x:v>1.0903152310924367</x:v>
      </x:c>
      <x:c r="L225" t="str">
        <x:f>IF(K225="","Not Calculated",IF(K225&lt;0.8,"Below 80%",IF(K225&lt;1,"80%-99.99%",IF(K225&lt;1.1,"100%-109.99%",IF(K225&lt;1.75,"110%-174.99%","175%+ Review")))))</x:f>
        <x:v>100%-109.99%</x:v>
      </x:c>
      <x:c r="M225" s="56" t="str">
        <x:v>Ready for Commission Calculation</x:v>
      </x:c>
      <x:c r="N225" s="74" t="n">
        <x:f>IF(E225&lt;=0,0,MIN(G225,E225*0.8)*0.01+MAX(0,MIN(G225,E225)-E225*0.8)*0.02)</x:f>
        <x:v>1142.4</x:v>
      </x:c>
      <x:c r="O225" s="74" t="n">
        <x:f>IF(E225&lt;=0,0,MAX(0,MIN(G225,E225*1.1)-E225)*0.035+MAX(0,G225-E225*1.1)*0.05)</x:f>
        <x:v>300.93034999999884</x:v>
      </x:c>
      <x:c r="P225" s="74" t="n">
        <x:f>N225+O225</x:f>
        <x:v>1443.3303499999988</x:v>
      </x:c>
      <x:c r="Q225" s="76" t="n">
        <x:f>IF(G225&lt;=0,0,P225/G225)</x:f>
        <x:v>0.013905183249659595</x:v>
      </x:c>
    </x:row>
    <x:row r="226">
      <x:c r="A226" s="56" t="str">
        <x:v>EMP019</x:v>
      </x:c>
      <x:c r="B226" s="56" t="str">
        <x:v>Nadia Benali</x:v>
      </x:c>
      <x:c r="C226" s="56" t="str">
        <x:v>AE II</x:v>
      </x:c>
      <x:c r="D226" s="56" t="str">
        <x:v>2026-09</x:v>
      </x:c>
      <x:c r="E226" s="72" t="n">
        <x:v>136000</x:v>
      </x:c>
      <x:c r="F226" s="72" t="n">
        <x:v>138138.05</x:v>
      </x:c>
      <x:c r="G226" s="72" t="n">
        <x:v>137678.37</x:v>
      </x:c>
      <x:c r="H226" s="72" t="n">
        <x:v>459.68</x:v>
      </x:c>
      <x:c r="I226" s="56" t="n">
        <x:v>0</x:v>
      </x:c>
      <x:c r="J226" s="56" t="n">
        <x:v>0</x:v>
      </x:c>
      <x:c r="K226" s="68" t="n">
        <x:f>IF(E226&lt;=0,"",G226/E226)</x:f>
        <x:v>1.0123409558823528</x:v>
      </x:c>
      <x:c r="L226" t="str">
        <x:f>IF(K226="","Not Calculated",IF(K226&lt;0.8,"Below 80%",IF(K226&lt;1,"80%-99.99%",IF(K226&lt;1.1,"100%-109.99%",IF(K226&lt;1.75,"110%-174.99%","175%+ Review")))))</x:f>
        <x:v>100%-109.99%</x:v>
      </x:c>
      <x:c r="M226" s="56" t="str">
        <x:v>Ready for Commission Calculation</x:v>
      </x:c>
      <x:c r="N226" s="74" t="n">
        <x:f>IF(E226&lt;=0,0,MIN(G226,E226*0.8)*0.01+MAX(0,MIN(G226,E226)-E226*0.8)*0.02)</x:f>
        <x:v>1632</x:v>
      </x:c>
      <x:c r="O226" s="74" t="n">
        <x:f>IF(E226&lt;=0,0,MAX(0,MIN(G226,E226*1.1)-E226)*0.035+MAX(0,G226-E226*1.1)*0.05)</x:f>
        <x:v>58.742949999999844</x:v>
      </x:c>
      <x:c r="P226" s="74" t="n">
        <x:f>N226+O226</x:f>
        <x:v>1690.7429499999998</x:v>
      </x:c>
      <x:c r="Q226" s="76" t="n">
        <x:f>IF(G226&lt;=0,0,P226/G226)</x:f>
        <x:v>0.012280381805798542</x:v>
      </x:c>
    </x:row>
    <x:row r="227">
      <x:c r="A227" s="56" t="str">
        <x:v>EMP019</x:v>
      </x:c>
      <x:c r="B227" s="56" t="str">
        <x:v>Nadia Benali</x:v>
      </x:c>
      <x:c r="C227" s="56" t="str">
        <x:v>AE II</x:v>
      </x:c>
      <x:c r="D227" s="56" t="str">
        <x:v>2026-10</x:v>
      </x:c>
      <x:c r="E227" s="72" t="n">
        <x:v>136000</x:v>
      </x:c>
      <x:c r="F227" s="72" t="n">
        <x:v>149174.24</x:v>
      </x:c>
      <x:c r="G227" s="72" t="n">
        <x:v>148923.02</x:v>
      </x:c>
      <x:c r="H227" s="72" t="n">
        <x:v>251.22</x:v>
      </x:c>
      <x:c r="I227" s="56" t="n">
        <x:v>0</x:v>
      </x:c>
      <x:c r="J227" s="56" t="n">
        <x:v>0</x:v>
      </x:c>
      <x:c r="K227" s="68" t="n">
        <x:f>IF(E227&lt;=0,"",G227/E227)</x:f>
        <x:v>1.0950222058823529</x:v>
      </x:c>
      <x:c r="L227" t="str">
        <x:f>IF(K227="","Not Calculated",IF(K227&lt;0.8,"Below 80%",IF(K227&lt;1,"80%-99.99%",IF(K227&lt;1.1,"100%-109.99%",IF(K227&lt;1.75,"110%-174.99%","175%+ Review")))))</x:f>
        <x:v>100%-109.99%</x:v>
      </x:c>
      <x:c r="M227" s="56" t="str">
        <x:v>Ready for Commission Calculation</x:v>
      </x:c>
      <x:c r="N227" s="74" t="n">
        <x:f>IF(E227&lt;=0,0,MIN(G227,E227*0.8)*0.01+MAX(0,MIN(G227,E227)-E227*0.8)*0.02)</x:f>
        <x:v>1632</x:v>
      </x:c>
      <x:c r="O227" s="74" t="n">
        <x:f>IF(E227&lt;=0,0,MAX(0,MIN(G227,E227*1.1)-E227)*0.035+MAX(0,G227-E227*1.1)*0.05)</x:f>
        <x:v>452.30569999999966</x:v>
      </x:c>
      <x:c r="P227" s="74" t="n">
        <x:f>N227+O227</x:f>
        <x:v>2084.3057</x:v>
      </x:c>
      <x:c r="Q227" s="76" t="n">
        <x:f>IF(G227&lt;=0,0,P227/G227)</x:f>
        <x:v>0.013995859740153</x:v>
      </x:c>
    </x:row>
    <x:row r="228">
      <x:c r="A228" s="56" t="str">
        <x:v>EMP019</x:v>
      </x:c>
      <x:c r="B228" s="56" t="str">
        <x:v>Nadia Benali</x:v>
      </x:c>
      <x:c r="C228" s="56" t="str">
        <x:v>AE II</x:v>
      </x:c>
      <x:c r="D228" s="56" t="str">
        <x:v>2026-11</x:v>
      </x:c>
      <x:c r="E228" s="72" t="n">
        <x:v>122400</x:v>
      </x:c>
      <x:c r="F228" s="72" t="n">
        <x:v>141135.25</x:v>
      </x:c>
      <x:c r="G228" s="72" t="n">
        <x:v>141034.3</x:v>
      </x:c>
      <x:c r="H228" s="72" t="n">
        <x:v>100.95</x:v>
      </x:c>
      <x:c r="I228" s="56" t="n">
        <x:v>0</x:v>
      </x:c>
      <x:c r="J228" s="56" t="n">
        <x:v>0</x:v>
      </x:c>
      <x:c r="K228" s="68" t="n">
        <x:f>IF(E228&lt;=0,"",G228/E228)</x:f>
        <x:v>1.1522410130718954</x:v>
      </x:c>
      <x:c r="L228" t="str">
        <x:f>IF(K228="","Not Calculated",IF(K228&lt;0.8,"Below 80%",IF(K228&lt;1,"80%-99.99%",IF(K228&lt;1.1,"100%-109.99%",IF(K228&lt;1.75,"110%-174.99%","175%+ Review")))))</x:f>
        <x:v>110%-174.99%</x:v>
      </x:c>
      <x:c r="M228" s="56" t="str">
        <x:v>Ready for Commission Calculation</x:v>
      </x:c>
      <x:c r="N228" s="74" t="n">
        <x:f>IF(E228&lt;=0,0,MIN(G228,E228*0.8)*0.01+MAX(0,MIN(G228,E228)-E228*0.8)*0.02)</x:f>
        <x:v>1468.8000000000002</x:v>
      </x:c>
      <x:c r="O228" s="74" t="n">
        <x:f>IF(E228&lt;=0,0,MAX(0,MIN(G228,E228*1.1)-E228)*0.035+MAX(0,G228-E228*1.1)*0.05)</x:f>
        <x:v>748.1149999999996</x:v>
      </x:c>
      <x:c r="P228" s="74" t="n">
        <x:f>N228+O228</x:f>
        <x:v>2216.915</x:v>
      </x:c>
      <x:c r="Q228" s="76" t="n">
        <x:f>IF(G228&lt;=0,0,P228/G228)</x:f>
        <x:v>0.015718977582049192</x:v>
      </x:c>
    </x:row>
    <x:row r="229">
      <x:c r="A229" s="56" t="str">
        <x:v>EMP019</x:v>
      </x:c>
      <x:c r="B229" s="56" t="str">
        <x:v>Nadia Benali</x:v>
      </x:c>
      <x:c r="C229" s="56" t="str">
        <x:v>AE II</x:v>
      </x:c>
      <x:c r="D229" s="56" t="str">
        <x:v>2026-12</x:v>
      </x:c>
      <x:c r="E229" s="72" t="n">
        <x:v>136000</x:v>
      </x:c>
      <x:c r="F229" s="72" t="n">
        <x:v>141551.7</x:v>
      </x:c>
      <x:c r="G229" s="72" t="n">
        <x:v>141466.45</x:v>
      </x:c>
      <x:c r="H229" s="72" t="n">
        <x:v>85.25</x:v>
      </x:c>
      <x:c r="I229" s="56" t="n">
        <x:v>0</x:v>
      </x:c>
      <x:c r="J229" s="56" t="n">
        <x:v>0</x:v>
      </x:c>
      <x:c r="K229" s="68" t="n">
        <x:f>IF(E229&lt;=0,"",G229/E229)</x:f>
        <x:v>1.0401944852941178</x:v>
      </x:c>
      <x:c r="L229" t="str">
        <x:f>IF(K229="","Not Calculated",IF(K229&lt;0.8,"Below 80%",IF(K229&lt;1,"80%-99.99%",IF(K229&lt;1.1,"100%-109.99%",IF(K229&lt;1.75,"110%-174.99%","175%+ Review")))))</x:f>
        <x:v>100%-109.99%</x:v>
      </x:c>
      <x:c r="M229" s="56" t="str">
        <x:v>Ready for Commission Calculation</x:v>
      </x:c>
      <x:c r="N229" s="74" t="n">
        <x:f>IF(E229&lt;=0,0,MIN(G229,E229*0.8)*0.01+MAX(0,MIN(G229,E229)-E229*0.8)*0.02)</x:f>
        <x:v>1632</x:v>
      </x:c>
      <x:c r="O229" s="74" t="n">
        <x:f>IF(E229&lt;=0,0,MAX(0,MIN(G229,E229*1.1)-E229)*0.035+MAX(0,G229-E229*1.1)*0.05)</x:f>
        <x:v>191.32575000000043</x:v>
      </x:c>
      <x:c r="P229" s="74" t="n">
        <x:f>N229+O229</x:f>
        <x:v>1823.3257500000004</x:v>
      </x:c>
      <x:c r="Q229" s="76" t="n">
        <x:f>IF(G229&lt;=0,0,P229/G229)</x:f>
        <x:v>0.012888750300866392</x:v>
      </x:c>
    </x:row>
    <x:row r="230">
      <x:c r="A230" s="56" t="str">
        <x:v>EMP020</x:v>
      </x:c>
      <x:c r="B230" s="56" t="str">
        <x:v>Julien Caron</x:v>
      </x:c>
      <x:c r="C230" s="56" t="str">
        <x:v>AE II</x:v>
      </x:c>
      <x:c r="D230" s="56" t="str">
        <x:v>2026-01</x:v>
      </x:c>
      <x:c r="E230" s="72" t="n">
        <x:v>89600.00000000001</x:v>
      </x:c>
      <x:c r="F230" s="72" t="n">
        <x:v>90448.43000000001</x:v>
      </x:c>
      <x:c r="G230" s="72" t="n">
        <x:v>90248.18000000001</x:v>
      </x:c>
      <x:c r="H230" s="72" t="n">
        <x:v>200.25</x:v>
      </x:c>
      <x:c r="I230" s="56" t="n">
        <x:v>0</x:v>
      </x:c>
      <x:c r="J230" s="56" t="n">
        <x:v>0</x:v>
      </x:c>
      <x:c r="K230" s="68" t="n">
        <x:f>IF(E230&lt;=0,"",G230/E230)</x:f>
        <x:v>1.0072341517857142</x:v>
      </x:c>
      <x:c r="L230" t="str">
        <x:f>IF(K230="","Not Calculated",IF(K230&lt;0.8,"Below 80%",IF(K230&lt;1,"80%-99.99%",IF(K230&lt;1.1,"100%-109.99%",IF(K230&lt;1.75,"110%-174.99%","175%+ Review")))))</x:f>
        <x:v>100%-109.99%</x:v>
      </x:c>
      <x:c r="M230" s="56" t="str">
        <x:v>Ready for Commission Calculation</x:v>
      </x:c>
      <x:c r="N230" s="74" t="n">
        <x:f>IF(E230&lt;=0,0,MIN(G230,E230*0.8)*0.01+MAX(0,MIN(G230,E230)-E230*0.8)*0.02)</x:f>
        <x:v>1075.2000000000003</x:v>
      </x:c>
      <x:c r="O230" s="74" t="n">
        <x:f>IF(E230&lt;=0,0,MAX(0,MIN(G230,E230*1.1)-E230)*0.035+MAX(0,G230-E230*1.1)*0.05)</x:f>
        <x:v>22.686299999999758</x:v>
      </x:c>
      <x:c r="P230" s="74" t="n">
        <x:f>N230+O230</x:f>
        <x:v>1097.8863000000001</x:v>
      </x:c>
      <x:c r="Q230" s="76" t="n">
        <x:f>IF(G230&lt;=0,0,P230/G230)</x:f>
        <x:v>0.012165190478079447</x:v>
      </x:c>
    </x:row>
    <x:row r="231">
      <x:c r="A231" s="56" t="str">
        <x:v>EMP020</x:v>
      </x:c>
      <x:c r="B231" s="56" t="str">
        <x:v>Julien Caron</x:v>
      </x:c>
      <x:c r="C231" s="56" t="str">
        <x:v>AE II</x:v>
      </x:c>
      <x:c r="D231" s="56" t="str">
        <x:v>2026-02</x:v>
      </x:c>
      <x:c r="E231" s="72" t="n">
        <x:v>89600.00000000001</x:v>
      </x:c>
      <x:c r="F231" s="72" t="n">
        <x:v>92735.53</x:v>
      </x:c>
      <x:c r="G231" s="72" t="n">
        <x:v>92735.53</x:v>
      </x:c>
      <x:c r="H231" s="72" t="n">
        <x:v>0</x:v>
      </x:c>
      <x:c r="I231" s="56" t="n">
        <x:v>0</x:v>
      </x:c>
      <x:c r="J231" s="56" t="n">
        <x:v>0</x:v>
      </x:c>
      <x:c r="K231" s="68" t="n">
        <x:f>IF(E231&lt;=0,"",G231/E231)</x:f>
        <x:v>1.0349947544642855</x:v>
      </x:c>
      <x:c r="L231" t="str">
        <x:f>IF(K231="","Not Calculated",IF(K231&lt;0.8,"Below 80%",IF(K231&lt;1,"80%-99.99%",IF(K231&lt;1.1,"100%-109.99%",IF(K231&lt;1.75,"110%-174.99%","175%+ Review")))))</x:f>
        <x:v>100%-109.99%</x:v>
      </x:c>
      <x:c r="M231" s="56" t="str">
        <x:v>Ready for Commission Calculation</x:v>
      </x:c>
      <x:c r="N231" s="74" t="n">
        <x:f>IF(E231&lt;=0,0,MIN(G231,E231*0.8)*0.01+MAX(0,MIN(G231,E231)-E231*0.8)*0.02)</x:f>
        <x:v>1075.2000000000003</x:v>
      </x:c>
      <x:c r="O231" s="74" t="n">
        <x:f>IF(E231&lt;=0,0,MAX(0,MIN(G231,E231*1.1)-E231)*0.035+MAX(0,G231-E231*1.1)*0.05)</x:f>
        <x:v>109.74354999999946</x:v>
      </x:c>
      <x:c r="P231" s="74" t="n">
        <x:f>N231+O231</x:f>
        <x:v>1184.9435499999997</x:v>
      </x:c>
      <x:c r="Q231" s="76" t="n">
        <x:f>IF(G231&lt;=0,0,P231/G231)</x:f>
        <x:v>0.012777665151641445</x:v>
      </x:c>
    </x:row>
    <x:row r="232">
      <x:c r="A232" s="56" t="str">
        <x:v>EMP020</x:v>
      </x:c>
      <x:c r="B232" s="56" t="str">
        <x:v>Julien Caron</x:v>
      </x:c>
      <x:c r="C232" s="56" t="str">
        <x:v>AE II</x:v>
      </x:c>
      <x:c r="D232" s="56" t="str">
        <x:v>2026-03</x:v>
      </x:c>
      <x:c r="E232" s="72" t="n">
        <x:v>102400</x:v>
      </x:c>
      <x:c r="F232" s="72" t="n">
        <x:v>110822.35</x:v>
      </x:c>
      <x:c r="G232" s="72" t="n">
        <x:v>110337.69</x:v>
      </x:c>
      <x:c r="H232" s="72" t="n">
        <x:v>484.66</x:v>
      </x:c>
      <x:c r="I232" s="56" t="n">
        <x:v>0</x:v>
      </x:c>
      <x:c r="J232" s="56" t="n">
        <x:v>0</x:v>
      </x:c>
      <x:c r="K232" s="68" t="n">
        <x:f>IF(E232&lt;=0,"",G232/E232)</x:f>
        <x:v>1.07751650390625</x:v>
      </x:c>
      <x:c r="L232" t="str">
        <x:f>IF(K232="","Not Calculated",IF(K232&lt;0.8,"Below 80%",IF(K232&lt;1,"80%-99.99%",IF(K232&lt;1.1,"100%-109.99%",IF(K232&lt;1.75,"110%-174.99%","175%+ Review")))))</x:f>
        <x:v>100%-109.99%</x:v>
      </x:c>
      <x:c r="M232" s="56" t="str">
        <x:v>Ready for Commission Calculation</x:v>
      </x:c>
      <x:c r="N232" s="74" t="n">
        <x:f>IF(E232&lt;=0,0,MIN(G232,E232*0.8)*0.01+MAX(0,MIN(G232,E232)-E232*0.8)*0.02)</x:f>
        <x:v>1228.8000000000002</x:v>
      </x:c>
      <x:c r="O232" s="74" t="n">
        <x:f>IF(E232&lt;=0,0,MAX(0,MIN(G232,E232*1.1)-E232)*0.035+MAX(0,G232-E232*1.1)*0.05)</x:f>
        <x:v>277.8191500000001</x:v>
      </x:c>
      <x:c r="P232" s="74" t="n">
        <x:f>N232+O232</x:f>
        <x:v>1506.6191500000002</x:v>
      </x:c>
      <x:c r="Q232" s="76" t="n">
        <x:f>IF(G232&lt;=0,0,P232/G232)</x:f>
        <x:v>0.01365461928738947</x:v>
      </x:c>
    </x:row>
    <x:row r="233">
      <x:c r="A233" s="56" t="str">
        <x:v>EMP020</x:v>
      </x:c>
      <x:c r="B233" s="56" t="str">
        <x:v>Julien Caron</x:v>
      </x:c>
      <x:c r="C233" s="56" t="str">
        <x:v>AE II</x:v>
      </x:c>
      <x:c r="D233" s="56" t="str">
        <x:v>2026-04</x:v>
      </x:c>
      <x:c r="E233" s="72" t="n">
        <x:v>102400</x:v>
      </x:c>
      <x:c r="F233" s="72" t="n">
        <x:v>108472.63999999998</x:v>
      </x:c>
      <x:c r="G233" s="72" t="n">
        <x:v>108084.20999999999</x:v>
      </x:c>
      <x:c r="H233" s="72" t="n">
        <x:v>388.43</x:v>
      </x:c>
      <x:c r="I233" s="56" t="n">
        <x:v>0</x:v>
      </x:c>
      <x:c r="J233" s="56" t="n">
        <x:v>0</x:v>
      </x:c>
      <x:c r="K233" s="68" t="n">
        <x:f>IF(E233&lt;=0,"",G233/E233)</x:f>
        <x:v>1.0555098632812498</x:v>
      </x:c>
      <x:c r="L233" t="str">
        <x:f>IF(K233="","Not Calculated",IF(K233&lt;0.8,"Below 80%",IF(K233&lt;1,"80%-99.99%",IF(K233&lt;1.1,"100%-109.99%",IF(K233&lt;1.75,"110%-174.99%","175%+ Review")))))</x:f>
        <x:v>100%-109.99%</x:v>
      </x:c>
      <x:c r="M233" s="56" t="str">
        <x:v>Ready for Commission Calculation</x:v>
      </x:c>
      <x:c r="N233" s="74" t="n">
        <x:f>IF(E233&lt;=0,0,MIN(G233,E233*0.8)*0.01+MAX(0,MIN(G233,E233)-E233*0.8)*0.02)</x:f>
        <x:v>1228.8000000000002</x:v>
      </x:c>
      <x:c r="O233" s="74" t="n">
        <x:f>IF(E233&lt;=0,0,MAX(0,MIN(G233,E233*1.1)-E233)*0.035+MAX(0,G233-E233*1.1)*0.05)</x:f>
        <x:v>198.94734999999974</x:v>
      </x:c>
      <x:c r="P233" s="74" t="n">
        <x:f>N233+O233</x:f>
        <x:v>1427.7473499999999</x:v>
      </x:c>
      <x:c r="Q233" s="76" t="n">
        <x:f>IF(G233&lt;=0,0,P233/G233)</x:f>
        <x:v>0.01320958306490837</x:v>
      </x:c>
    </x:row>
    <x:row r="234">
      <x:c r="A234" s="56" t="str">
        <x:v>EMP020</x:v>
      </x:c>
      <x:c r="B234" s="56" t="str">
        <x:v>Julien Caron</x:v>
      </x:c>
      <x:c r="C234" s="56" t="str">
        <x:v>AE II</x:v>
      </x:c>
      <x:c r="D234" s="56" t="str">
        <x:v>2026-05</x:v>
      </x:c>
      <x:c r="E234" s="72" t="n">
        <x:v>102400</x:v>
      </x:c>
      <x:c r="F234" s="72" t="n">
        <x:v>115590.66999999998</x:v>
      </x:c>
      <x:c r="G234" s="72" t="n">
        <x:v>115590.66999999998</x:v>
      </x:c>
      <x:c r="H234" s="72" t="n">
        <x:v>0</x:v>
      </x:c>
      <x:c r="I234" s="56" t="n">
        <x:v>0</x:v>
      </x:c>
      <x:c r="J234" s="56" t="n">
        <x:v>0</x:v>
      </x:c>
      <x:c r="K234" s="68" t="n">
        <x:f>IF(E234&lt;=0,"",G234/E234)</x:f>
        <x:v>1.1288151367187498</x:v>
      </x:c>
      <x:c r="L234" t="str">
        <x:f>IF(K234="","Not Calculated",IF(K234&lt;0.8,"Below 80%",IF(K234&lt;1,"80%-99.99%",IF(K234&lt;1.1,"100%-109.99%",IF(K234&lt;1.75,"110%-174.99%","175%+ Review")))))</x:f>
        <x:v>110%-174.99%</x:v>
      </x:c>
      <x:c r="M234" s="56" t="str">
        <x:v>Ready for Commission Calculation</x:v>
      </x:c>
      <x:c r="N234" s="74" t="n">
        <x:f>IF(E234&lt;=0,0,MIN(G234,E234*0.8)*0.01+MAX(0,MIN(G234,E234)-E234*0.8)*0.02)</x:f>
        <x:v>1228.8000000000002</x:v>
      </x:c>
      <x:c r="O234" s="74" t="n">
        <x:f>IF(E234&lt;=0,0,MAX(0,MIN(G234,E234*1.1)-E234)*0.035+MAX(0,G234-E234*1.1)*0.05)</x:f>
        <x:v>505.933499999999</x:v>
      </x:c>
      <x:c r="P234" s="74" t="n">
        <x:f>N234+O234</x:f>
        <x:v>1734.7334999999991</x:v>
      </x:c>
      <x:c r="Q234" s="76" t="n">
        <x:f>IF(G234&lt;=0,0,P234/G234)</x:f>
        <x:v>0.015007556405720284</x:v>
      </x:c>
    </x:row>
    <x:row r="235">
      <x:c r="A235" s="56" t="str">
        <x:v>EMP020</x:v>
      </x:c>
      <x:c r="B235" s="56" t="str">
        <x:v>Julien Caron</x:v>
      </x:c>
      <x:c r="C235" s="56" t="str">
        <x:v>AE II</x:v>
      </x:c>
      <x:c r="D235" s="56" t="str">
        <x:v>2026-06</x:v>
      </x:c>
      <x:c r="E235" s="72" t="n">
        <x:v>115200</x:v>
      </x:c>
      <x:c r="F235" s="72" t="n">
        <x:v>133706.46</x:v>
      </x:c>
      <x:c r="G235" s="72" t="n">
        <x:v>133706.46</x:v>
      </x:c>
      <x:c r="H235" s="72" t="n">
        <x:v>0</x:v>
      </x:c>
      <x:c r="I235" s="56" t="n">
        <x:v>0</x:v>
      </x:c>
      <x:c r="J235" s="56" t="n">
        <x:v>0</x:v>
      </x:c>
      <x:c r="K235" s="68" t="n">
        <x:f>IF(E235&lt;=0,"",G235/E235)</x:f>
        <x:v>1.1606463541666665</x:v>
      </x:c>
      <x:c r="L235" t="str">
        <x:f>IF(K235="","Not Calculated",IF(K235&lt;0.8,"Below 80%",IF(K235&lt;1,"80%-99.99%",IF(K235&lt;1.1,"100%-109.99%",IF(K235&lt;1.75,"110%-174.99%","175%+ Review")))))</x:f>
        <x:v>110%-174.99%</x:v>
      </x:c>
      <x:c r="M235" s="56" t="str">
        <x:v>Ready for Commission Calculation</x:v>
      </x:c>
      <x:c r="N235" s="74" t="n">
        <x:f>IF(E235&lt;=0,0,MIN(G235,E235*0.8)*0.01+MAX(0,MIN(G235,E235)-E235*0.8)*0.02)</x:f>
        <x:v>1382.4</x:v>
      </x:c>
      <x:c r="O235" s="74" t="n">
        <x:f>IF(E235&lt;=0,0,MAX(0,MIN(G235,E235*1.1)-E235)*0.035+MAX(0,G235-E235*1.1)*0.05)</x:f>
        <x:v>752.5229999999995</x:v>
      </x:c>
      <x:c r="P235" s="74" t="n">
        <x:f>N235+O235</x:f>
        <x:v>2134.923</x:v>
      </x:c>
      <x:c r="Q235" s="76" t="n">
        <x:f>IF(G235&lt;=0,0,P235/G235)</x:f>
        <x:v>0.015967238980076206</x:v>
      </x:c>
    </x:row>
    <x:row r="236">
      <x:c r="A236" s="56" t="str">
        <x:v>EMP020</x:v>
      </x:c>
      <x:c r="B236" s="56" t="str">
        <x:v>Julien Caron</x:v>
      </x:c>
      <x:c r="C236" s="56" t="str">
        <x:v>AE II</x:v>
      </x:c>
      <x:c r="D236" s="56" t="str">
        <x:v>2026-07</x:v>
      </x:c>
      <x:c r="E236" s="72" t="n">
        <x:v>89600.00000000001</x:v>
      </x:c>
      <x:c r="F236" s="72" t="n">
        <x:v>107888.02999999998</x:v>
      </x:c>
      <x:c r="G236" s="72" t="n">
        <x:v>107683.26999999999</x:v>
      </x:c>
      <x:c r="H236" s="72" t="n">
        <x:v>204.76</x:v>
      </x:c>
      <x:c r="I236" s="56" t="n">
        <x:v>0</x:v>
      </x:c>
      <x:c r="J236" s="56" t="n">
        <x:v>0</x:v>
      </x:c>
      <x:c r="K236" s="68" t="n">
        <x:f>IF(E236&lt;=0,"",G236/E236)</x:f>
        <x:v>1.2018222098214282</x:v>
      </x:c>
      <x:c r="L236" t="str">
        <x:f>IF(K236="","Not Calculated",IF(K236&lt;0.8,"Below 80%",IF(K236&lt;1,"80%-99.99%",IF(K236&lt;1.1,"100%-109.99%",IF(K236&lt;1.75,"110%-174.99%","175%+ Review")))))</x:f>
        <x:v>110%-174.99%</x:v>
      </x:c>
      <x:c r="M236" s="56" t="str">
        <x:v>Ready for Commission Calculation</x:v>
      </x:c>
      <x:c r="N236" s="74" t="n">
        <x:f>IF(E236&lt;=0,0,MIN(G236,E236*0.8)*0.01+MAX(0,MIN(G236,E236)-E236*0.8)*0.02)</x:f>
        <x:v>1075.2000000000003</x:v>
      </x:c>
      <x:c r="O236" s="74" t="n">
        <x:f>IF(E236&lt;=0,0,MAX(0,MIN(G236,E236*1.1)-E236)*0.035+MAX(0,G236-E236*1.1)*0.05)</x:f>
        <x:v>769.7634999999987</x:v>
      </x:c>
      <x:c r="P236" s="74" t="n">
        <x:f>N236+O236</x:f>
        <x:v>1844.963499999999</x:v>
      </x:c>
      <x:c r="Q236" s="76" t="n">
        <x:f>IF(G236&lt;=0,0,P236/G236)</x:f>
        <x:v>0.017133241774697213</x:v>
      </x:c>
    </x:row>
    <x:row r="237">
      <x:c r="A237" s="56" t="str">
        <x:v>EMP020</x:v>
      </x:c>
      <x:c r="B237" s="56" t="str">
        <x:v>Julien Caron</x:v>
      </x:c>
      <x:c r="C237" s="56" t="str">
        <x:v>AE II</x:v>
      </x:c>
      <x:c r="D237" s="56" t="str">
        <x:v>2026-08</x:v>
      </x:c>
      <x:c r="E237" s="72" t="n">
        <x:v>89600.00000000001</x:v>
      </x:c>
      <x:c r="F237" s="72" t="n">
        <x:v>88187.56</x:v>
      </x:c>
      <x:c r="G237" s="72" t="n">
        <x:v>88187.56</x:v>
      </x:c>
      <x:c r="H237" s="72" t="n">
        <x:v>0</x:v>
      </x:c>
      <x:c r="I237" s="56" t="n">
        <x:v>0</x:v>
      </x:c>
      <x:c r="J237" s="56" t="n">
        <x:v>0</x:v>
      </x:c>
      <x:c r="K237" s="68" t="n">
        <x:f>IF(E237&lt;=0,"",G237/E237)</x:f>
        <x:v>0.9842361607142855</x:v>
      </x:c>
      <x:c r="L237" t="str">
        <x:f>IF(K237="","Not Calculated",IF(K237&lt;0.8,"Below 80%",IF(K237&lt;1,"80%-99.99%",IF(K237&lt;1.1,"100%-109.99%",IF(K237&lt;1.75,"110%-174.99%","175%+ Review")))))</x:f>
        <x:v>80%-99.99%</x:v>
      </x:c>
      <x:c r="M237" s="56" t="str">
        <x:v>Ready for Commission Calculation</x:v>
      </x:c>
      <x:c r="N237" s="74" t="n">
        <x:f>IF(E237&lt;=0,0,MIN(G237,E237*0.8)*0.01+MAX(0,MIN(G237,E237)-E237*0.8)*0.02)</x:f>
        <x:v>1046.9512</x:v>
      </x:c>
      <x:c r="O237" s="74" t="n">
        <x:f>IF(E237&lt;=0,0,MAX(0,MIN(G237,E237*1.1)-E237)*0.035+MAX(0,G237-E237*1.1)*0.05)</x:f>
        <x:v>0</x:v>
      </x:c>
      <x:c r="P237" s="74" t="n">
        <x:f>N237+O237</x:f>
        <x:v>1046.9512</x:v>
      </x:c>
      <x:c r="Q237" s="76" t="n">
        <x:f>IF(G237&lt;=0,0,P237/G237)</x:f>
        <x:v>0.011871869456417663</x:v>
      </x:c>
    </x:row>
    <x:row r="238">
      <x:c r="A238" s="56" t="str">
        <x:v>EMP020</x:v>
      </x:c>
      <x:c r="B238" s="56" t="str">
        <x:v>Julien Caron</x:v>
      </x:c>
      <x:c r="C238" s="56" t="str">
        <x:v>AE II</x:v>
      </x:c>
      <x:c r="D238" s="56" t="str">
        <x:v>2026-09</x:v>
      </x:c>
      <x:c r="E238" s="72" t="n">
        <x:v>128000</x:v>
      </x:c>
      <x:c r="F238" s="72" t="n">
        <x:v>127405.27</x:v>
      </x:c>
      <x:c r="G238" s="72" t="n">
        <x:v>126939.89</x:v>
      </x:c>
      <x:c r="H238" s="72" t="n">
        <x:v>465.38</x:v>
      </x:c>
      <x:c r="I238" s="56" t="n">
        <x:v>0</x:v>
      </x:c>
      <x:c r="J238" s="56" t="n">
        <x:v>0</x:v>
      </x:c>
      <x:c r="K238" s="68" t="n">
        <x:f>IF(E238&lt;=0,"",G238/E238)</x:f>
        <x:v>0.991717890625</x:v>
      </x:c>
      <x:c r="L238" t="str">
        <x:f>IF(K238="","Not Calculated",IF(K238&lt;0.8,"Below 80%",IF(K238&lt;1,"80%-99.99%",IF(K238&lt;1.1,"100%-109.99%",IF(K238&lt;1.75,"110%-174.99%","175%+ Review")))))</x:f>
        <x:v>80%-99.99%</x:v>
      </x:c>
      <x:c r="M238" s="56" t="str">
        <x:v>Ready for Commission Calculation</x:v>
      </x:c>
      <x:c r="N238" s="74" t="n">
        <x:f>IF(E238&lt;=0,0,MIN(G238,E238*0.8)*0.01+MAX(0,MIN(G238,E238)-E238*0.8)*0.02)</x:f>
        <x:v>1514.7978</x:v>
      </x:c>
      <x:c r="O238" s="74" t="n">
        <x:f>IF(E238&lt;=0,0,MAX(0,MIN(G238,E238*1.1)-E238)*0.035+MAX(0,G238-E238*1.1)*0.05)</x:f>
        <x:v>0</x:v>
      </x:c>
      <x:c r="P238" s="74" t="n">
        <x:f>N238+O238</x:f>
        <x:v>1514.7978</x:v>
      </x:c>
      <x:c r="Q238" s="76" t="n">
        <x:f>IF(G238&lt;=0,0,P238/G238)</x:f>
        <x:v>0.011933189795579625</x:v>
      </x:c>
    </x:row>
    <x:row r="239">
      <x:c r="A239" s="56" t="str">
        <x:v>EMP020</x:v>
      </x:c>
      <x:c r="B239" s="56" t="str">
        <x:v>Julien Caron</x:v>
      </x:c>
      <x:c r="C239" s="56" t="str">
        <x:v>AE II</x:v>
      </x:c>
      <x:c r="D239" s="56" t="str">
        <x:v>2026-10</x:v>
      </x:c>
      <x:c r="E239" s="72" t="n">
        <x:v>128000</x:v>
      </x:c>
      <x:c r="F239" s="72" t="n">
        <x:v>144093.33000000002</x:v>
      </x:c>
      <x:c r="G239" s="72" t="n">
        <x:v>143785.65</x:v>
      </x:c>
      <x:c r="H239" s="72" t="n">
        <x:v>307.68</x:v>
      </x:c>
      <x:c r="I239" s="56" t="n">
        <x:v>0</x:v>
      </x:c>
      <x:c r="J239" s="56" t="n">
        <x:v>0</x:v>
      </x:c>
      <x:c r="K239" s="68" t="n">
        <x:f>IF(E239&lt;=0,"",G239/E239)</x:f>
        <x:v>1.123325390625</x:v>
      </x:c>
      <x:c r="L239" t="str">
        <x:f>IF(K239="","Not Calculated",IF(K239&lt;0.8,"Below 80%",IF(K239&lt;1,"80%-99.99%",IF(K239&lt;1.1,"100%-109.99%",IF(K239&lt;1.75,"110%-174.99%","175%+ Review")))))</x:f>
        <x:v>110%-174.99%</x:v>
      </x:c>
      <x:c r="M239" s="56" t="str">
        <x:v>Ready for Commission Calculation</x:v>
      </x:c>
      <x:c r="N239" s="74" t="n">
        <x:f>IF(E239&lt;=0,0,MIN(G239,E239*0.8)*0.01+MAX(0,MIN(G239,E239)-E239*0.8)*0.02)</x:f>
        <x:v>1536</x:v>
      </x:c>
      <x:c r="O239" s="74" t="n">
        <x:f>IF(E239&lt;=0,0,MAX(0,MIN(G239,E239*1.1)-E239)*0.035+MAX(0,G239-E239*1.1)*0.05)</x:f>
        <x:v>597.2824999999998</x:v>
      </x:c>
      <x:c r="P239" s="74" t="n">
        <x:f>N239+O239</x:f>
        <x:v>2133.2825</x:v>
      </x:c>
      <x:c r="Q239" s="76" t="n">
        <x:f>IF(G239&lt;=0,0,P239/G239)</x:f>
        <x:v>0.014836546623393919</x:v>
      </x:c>
    </x:row>
    <x:row r="240">
      <x:c r="A240" s="56" t="str">
        <x:v>EMP020</x:v>
      </x:c>
      <x:c r="B240" s="56" t="str">
        <x:v>Julien Caron</x:v>
      </x:c>
      <x:c r="C240" s="56" t="str">
        <x:v>AE II</x:v>
      </x:c>
      <x:c r="D240" s="56" t="str">
        <x:v>2026-11</x:v>
      </x:c>
      <x:c r="E240" s="72" t="n">
        <x:v>115200</x:v>
      </x:c>
      <x:c r="F240" s="72" t="n">
        <x:v>136490.88</x:v>
      </x:c>
      <x:c r="G240" s="72" t="n">
        <x:v>135626.58000000002</x:v>
      </x:c>
      <x:c r="H240" s="72" t="n">
        <x:v>864.3</x:v>
      </x:c>
      <x:c r="I240" s="56" t="n">
        <x:v>0</x:v>
      </x:c>
      <x:c r="J240" s="56" t="n">
        <x:v>0</x:v>
      </x:c>
      <x:c r="K240" s="68" t="n">
        <x:f>IF(E240&lt;=0,"",G240/E240)</x:f>
        <x:v>1.1773140625</x:v>
      </x:c>
      <x:c r="L240" t="str">
        <x:f>IF(K240="","Not Calculated",IF(K240&lt;0.8,"Below 80%",IF(K240&lt;1,"80%-99.99%",IF(K240&lt;1.1,"100%-109.99%",IF(K240&lt;1.75,"110%-174.99%","175%+ Review")))))</x:f>
        <x:v>110%-174.99%</x:v>
      </x:c>
      <x:c r="M240" s="56" t="str">
        <x:v>Ready for Commission Calculation</x:v>
      </x:c>
      <x:c r="N240" s="74" t="n">
        <x:f>IF(E240&lt;=0,0,MIN(G240,E240*0.8)*0.01+MAX(0,MIN(G240,E240)-E240*0.8)*0.02)</x:f>
        <x:v>1382.4</x:v>
      </x:c>
      <x:c r="O240" s="74" t="n">
        <x:f>IF(E240&lt;=0,0,MAX(0,MIN(G240,E240*1.1)-E240)*0.035+MAX(0,G240-E240*1.1)*0.05)</x:f>
        <x:v>848.5290000000007</x:v>
      </x:c>
      <x:c r="P240" s="74" t="n">
        <x:f>N240+O240</x:f>
        <x:v>2230.929000000001</x:v>
      </x:c>
      <x:c r="Q240" s="76" t="n">
        <x:f>IF(G240&lt;=0,0,P240/G240)</x:f>
        <x:v>0.016449054455255015</x:v>
      </x:c>
    </x:row>
    <x:row r="241">
      <x:c r="A241" s="56" t="str">
        <x:v>EMP020</x:v>
      </x:c>
      <x:c r="B241" s="56" t="str">
        <x:v>Julien Caron</x:v>
      </x:c>
      <x:c r="C241" s="56" t="str">
        <x:v>AE II</x:v>
      </x:c>
      <x:c r="D241" s="56" t="str">
        <x:v>2026-12</x:v>
      </x:c>
      <x:c r="E241" s="72" t="n">
        <x:v>128000</x:v>
      </x:c>
      <x:c r="F241" s="72" t="n">
        <x:v>159229.46</x:v>
      </x:c>
      <x:c r="G241" s="72" t="n">
        <x:v>158367.02</x:v>
      </x:c>
      <x:c r="H241" s="72" t="n">
        <x:v>862.44</x:v>
      </x:c>
      <x:c r="I241" s="56" t="n">
        <x:v>0</x:v>
      </x:c>
      <x:c r="J241" s="56" t="n">
        <x:v>0</x:v>
      </x:c>
      <x:c r="K241" s="68" t="n">
        <x:f>IF(E241&lt;=0,"",G241/E241)</x:f>
        <x:v>1.23724234375</x:v>
      </x:c>
      <x:c r="L241" t="str">
        <x:f>IF(K241="","Not Calculated",IF(K241&lt;0.8,"Below 80%",IF(K241&lt;1,"80%-99.99%",IF(K241&lt;1.1,"100%-109.99%",IF(K241&lt;1.75,"110%-174.99%","175%+ Review")))))</x:f>
        <x:v>110%-174.99%</x:v>
      </x:c>
      <x:c r="M241" s="56" t="str">
        <x:v>Ready for Commission Calculation</x:v>
      </x:c>
      <x:c r="N241" s="74" t="n">
        <x:f>IF(E241&lt;=0,0,MIN(G241,E241*0.8)*0.01+MAX(0,MIN(G241,E241)-E241*0.8)*0.02)</x:f>
        <x:v>1536</x:v>
      </x:c>
      <x:c r="O241" s="74" t="n">
        <x:f>IF(E241&lt;=0,0,MAX(0,MIN(G241,E241*1.1)-E241)*0.035+MAX(0,G241-E241*1.1)*0.05)</x:f>
        <x:v>1326.3509999999997</x:v>
      </x:c>
      <x:c r="P241" s="74" t="n">
        <x:f>N241+O241</x:f>
        <x:v>2862.3509999999997</x:v>
      </x:c>
      <x:c r="Q241" s="76" t="n">
        <x:f>IF(G241&lt;=0,0,P241/G241)</x:f>
        <x:v>0.01807416089536824</x:v>
      </x:c>
    </x:row>
    <x:row r="242">
      <x:c r="A242" s="56" t="str">
        <x:v>EMP021</x:v>
      </x:c>
      <x:c r="B242" s="56" t="str">
        <x:v>Émilie Fortin</x:v>
      </x:c>
      <x:c r="C242" s="56" t="str">
        <x:v>AE II</x:v>
      </x:c>
      <x:c r="D242" s="56" t="str">
        <x:v>2026-01</x:v>
      </x:c>
      <x:c r="E242" s="72" t="n">
        <x:v>91000.00000000001</x:v>
      </x:c>
      <x:c r="F242" s="72" t="n">
        <x:v>105607.11</x:v>
      </x:c>
      <x:c r="G242" s="72" t="n">
        <x:v>105454.22</x:v>
      </x:c>
      <x:c r="H242" s="72" t="n">
        <x:v>152.89</x:v>
      </x:c>
      <x:c r="I242" s="56" t="n">
        <x:v>0</x:v>
      </x:c>
      <x:c r="J242" s="56" t="n">
        <x:v>0</x:v>
      </x:c>
      <x:c r="K242" s="68" t="n">
        <x:f>IF(E242&lt;=0,"",G242/E242)</x:f>
        <x:v>1.1588375824175823</x:v>
      </x:c>
      <x:c r="L242" t="str">
        <x:f>IF(K242="","Not Calculated",IF(K242&lt;0.8,"Below 80%",IF(K242&lt;1,"80%-99.99%",IF(K242&lt;1.1,"100%-109.99%",IF(K242&lt;1.75,"110%-174.99%","175%+ Review")))))</x:f>
        <x:v>110%-174.99%</x:v>
      </x:c>
      <x:c r="M242" s="56" t="str">
        <x:v>Ready for Commission Calculation</x:v>
      </x:c>
      <x:c r="N242" s="74" t="n">
        <x:f>IF(E242&lt;=0,0,MIN(G242,E242*0.8)*0.01+MAX(0,MIN(G242,E242)-E242*0.8)*0.02)</x:f>
        <x:v>1092</x:v>
      </x:c>
      <x:c r="O242" s="74" t="n">
        <x:f>IF(E242&lt;=0,0,MAX(0,MIN(G242,E242*1.1)-E242)*0.035+MAX(0,G242-E242*1.1)*0.05)</x:f>
        <x:v>586.2109999999991</x:v>
      </x:c>
      <x:c r="P242" s="74" t="n">
        <x:f>N242+O242</x:f>
        <x:v>1678.210999999999</x:v>
      </x:c>
      <x:c r="Q242" s="76" t="n">
        <x:f>IF(G242&lt;=0,0,P242/G242)</x:f>
        <x:v>0.01591411894184983</x:v>
      </x:c>
    </x:row>
    <x:row r="243">
      <x:c r="A243" s="56" t="str">
        <x:v>EMP021</x:v>
      </x:c>
      <x:c r="B243" s="56" t="str">
        <x:v>Émilie Fortin</x:v>
      </x:c>
      <x:c r="C243" s="56" t="str">
        <x:v>AE II</x:v>
      </x:c>
      <x:c r="D243" s="56" t="str">
        <x:v>2026-02</x:v>
      </x:c>
      <x:c r="E243" s="72" t="n">
        <x:v>91000.00000000001</x:v>
      </x:c>
      <x:c r="F243" s="72" t="n">
        <x:v>106622.33999999998</x:v>
      </x:c>
      <x:c r="G243" s="72" t="n">
        <x:v>106622.33999999998</x:v>
      </x:c>
      <x:c r="H243" s="72" t="n">
        <x:v>0</x:v>
      </x:c>
      <x:c r="I243" s="56" t="n">
        <x:v>0</x:v>
      </x:c>
      <x:c r="J243" s="56" t="n">
        <x:v>0</x:v>
      </x:c>
      <x:c r="K243" s="68" t="n">
        <x:f>IF(E243&lt;=0,"",G243/E243)</x:f>
        <x:v>1.1716740659340656</x:v>
      </x:c>
      <x:c r="L243" t="str">
        <x:f>IF(K243="","Not Calculated",IF(K243&lt;0.8,"Below 80%",IF(K243&lt;1,"80%-99.99%",IF(K243&lt;1.1,"100%-109.99%",IF(K243&lt;1.75,"110%-174.99%","175%+ Review")))))</x:f>
        <x:v>110%-174.99%</x:v>
      </x:c>
      <x:c r="M243" s="56" t="str">
        <x:v>Ready for Commission Calculation</x:v>
      </x:c>
      <x:c r="N243" s="74" t="n">
        <x:f>IF(E243&lt;=0,0,MIN(G243,E243*0.8)*0.01+MAX(0,MIN(G243,E243)-E243*0.8)*0.02)</x:f>
        <x:v>1092</x:v>
      </x:c>
      <x:c r="O243" s="74" t="n">
        <x:f>IF(E243&lt;=0,0,MAX(0,MIN(G243,E243*1.1)-E243)*0.035+MAX(0,G243-E243*1.1)*0.05)</x:f>
        <x:v>644.6169999999981</x:v>
      </x:c>
      <x:c r="P243" s="74" t="n">
        <x:f>N243+O243</x:f>
        <x:v>1736.6169999999981</x:v>
      </x:c>
      <x:c r="Q243" s="76" t="n">
        <x:f>IF(G243&lt;=0,0,P243/G243)</x:f>
        <x:v>0.01628755287119002</x:v>
      </x:c>
    </x:row>
    <x:row r="244">
      <x:c r="A244" s="56" t="str">
        <x:v>EMP021</x:v>
      </x:c>
      <x:c r="B244" s="56" t="str">
        <x:v>Émilie Fortin</x:v>
      </x:c>
      <x:c r="C244" s="56" t="str">
        <x:v>AE II</x:v>
      </x:c>
      <x:c r="D244" s="56" t="str">
        <x:v>2026-03</x:v>
      </x:c>
      <x:c r="E244" s="72" t="n">
        <x:v>104000</x:v>
      </x:c>
      <x:c r="F244" s="72" t="n">
        <x:v>114882.71000000002</x:v>
      </x:c>
      <x:c r="G244" s="72" t="n">
        <x:v>114882.71000000002</x:v>
      </x:c>
      <x:c r="H244" s="72" t="n">
        <x:v>0</x:v>
      </x:c>
      <x:c r="I244" s="56" t="n">
        <x:v>0</x:v>
      </x:c>
      <x:c r="J244" s="56" t="n">
        <x:v>0</x:v>
      </x:c>
      <x:c r="K244" s="68" t="n">
        <x:f>IF(E244&lt;=0,"",G244/E244)</x:f>
        <x:v>1.1046414423076925</x:v>
      </x:c>
      <x:c r="L244" t="str">
        <x:f>IF(K244="","Not Calculated",IF(K244&lt;0.8,"Below 80%",IF(K244&lt;1,"80%-99.99%",IF(K244&lt;1.1,"100%-109.99%",IF(K244&lt;1.75,"110%-174.99%","175%+ Review")))))</x:f>
        <x:v>110%-174.99%</x:v>
      </x:c>
      <x:c r="M244" s="56" t="str">
        <x:v>Ready for Commission Calculation</x:v>
      </x:c>
      <x:c r="N244" s="74" t="n">
        <x:f>IF(E244&lt;=0,0,MIN(G244,E244*0.8)*0.01+MAX(0,MIN(G244,E244)-E244*0.8)*0.02)</x:f>
        <x:v>1248</x:v>
      </x:c>
      <x:c r="O244" s="74" t="n">
        <x:f>IF(E244&lt;=0,0,MAX(0,MIN(G244,E244*1.1)-E244)*0.035+MAX(0,G244-E244*1.1)*0.05)</x:f>
        <x:v>388.1355000000009</x:v>
      </x:c>
      <x:c r="P244" s="74" t="n">
        <x:f>N244+O244</x:f>
        <x:v>1636.1355000000008</x:v>
      </x:c>
      <x:c r="Q244" s="76" t="n">
        <x:f>IF(G244&lt;=0,0,P244/G244)</x:f>
        <x:v>0.014241790605392234</x:v>
      </x:c>
    </x:row>
    <x:row r="245">
      <x:c r="A245" s="56" t="str">
        <x:v>EMP021</x:v>
      </x:c>
      <x:c r="B245" s="56" t="str">
        <x:v>Émilie Fortin</x:v>
      </x:c>
      <x:c r="C245" s="56" t="str">
        <x:v>AE II</x:v>
      </x:c>
      <x:c r="D245" s="56" t="str">
        <x:v>2026-04</x:v>
      </x:c>
      <x:c r="E245" s="72" t="n">
        <x:v>104000</x:v>
      </x:c>
      <x:c r="F245" s="72" t="n">
        <x:v>116163.27</x:v>
      </x:c>
      <x:c r="G245" s="72" t="n">
        <x:v>115641.91</x:v>
      </x:c>
      <x:c r="H245" s="72" t="n">
        <x:v>521.36</x:v>
      </x:c>
      <x:c r="I245" s="56" t="n">
        <x:v>0</x:v>
      </x:c>
      <x:c r="J245" s="56" t="n">
        <x:v>0</x:v>
      </x:c>
      <x:c r="K245" s="68" t="n">
        <x:f>IF(E245&lt;=0,"",G245/E245)</x:f>
        <x:v>1.1119414423076923</x:v>
      </x:c>
      <x:c r="L245" t="str">
        <x:f>IF(K245="","Not Calculated",IF(K245&lt;0.8,"Below 80%",IF(K245&lt;1,"80%-99.99%",IF(K245&lt;1.1,"100%-109.99%",IF(K245&lt;1.75,"110%-174.99%","175%+ Review")))))</x:f>
        <x:v>110%-174.99%</x:v>
      </x:c>
      <x:c r="M245" s="56" t="str">
        <x:v>Ready for Commission Calculation</x:v>
      </x:c>
      <x:c r="N245" s="74" t="n">
        <x:f>IF(E245&lt;=0,0,MIN(G245,E245*0.8)*0.01+MAX(0,MIN(G245,E245)-E245*0.8)*0.02)</x:f>
        <x:v>1248</x:v>
      </x:c>
      <x:c r="O245" s="74" t="n">
        <x:f>IF(E245&lt;=0,0,MAX(0,MIN(G245,E245*1.1)-E245)*0.035+MAX(0,G245-E245*1.1)*0.05)</x:f>
        <x:v>426.0955</x:v>
      </x:c>
      <x:c r="P245" s="74" t="n">
        <x:f>N245+O245</x:f>
        <x:v>1674.0955</x:v>
      </x:c>
      <x:c r="Q245" s="76" t="n">
        <x:f>IF(G245&lt;=0,0,P245/G245)</x:f>
        <x:v>0.014476546608405205</x:v>
      </x:c>
    </x:row>
    <x:row r="246">
      <x:c r="A246" s="56" t="str">
        <x:v>EMP021</x:v>
      </x:c>
      <x:c r="B246" s="56" t="str">
        <x:v>Émilie Fortin</x:v>
      </x:c>
      <x:c r="C246" s="56" t="str">
        <x:v>AE II</x:v>
      </x:c>
      <x:c r="D246" s="56" t="str">
        <x:v>2026-05</x:v>
      </x:c>
      <x:c r="E246" s="72" t="n">
        <x:v>104000</x:v>
      </x:c>
      <x:c r="F246" s="72" t="n">
        <x:v>116631.11999999997</x:v>
      </x:c>
      <x:c r="G246" s="72" t="n">
        <x:v>116631.11999999997</x:v>
      </x:c>
      <x:c r="H246" s="72" t="n">
        <x:v>0</x:v>
      </x:c>
      <x:c r="I246" s="56" t="n">
        <x:v>0</x:v>
      </x:c>
      <x:c r="J246" s="56" t="n">
        <x:v>0</x:v>
      </x:c>
      <x:c r="K246" s="68" t="n">
        <x:f>IF(E246&lt;=0,"",G246/E246)</x:f>
        <x:v>1.1214530769230766</x:v>
      </x:c>
      <x:c r="L246" t="str">
        <x:f>IF(K246="","Not Calculated",IF(K246&lt;0.8,"Below 80%",IF(K246&lt;1,"80%-99.99%",IF(K246&lt;1.1,"100%-109.99%",IF(K246&lt;1.75,"110%-174.99%","175%+ Review")))))</x:f>
        <x:v>110%-174.99%</x:v>
      </x:c>
      <x:c r="M246" s="56" t="str">
        <x:v>Ready for Commission Calculation</x:v>
      </x:c>
      <x:c r="N246" s="74" t="n">
        <x:f>IF(E246&lt;=0,0,MIN(G246,E246*0.8)*0.01+MAX(0,MIN(G246,E246)-E246*0.8)*0.02)</x:f>
        <x:v>1248</x:v>
      </x:c>
      <x:c r="O246" s="74" t="n">
        <x:f>IF(E246&lt;=0,0,MAX(0,MIN(G246,E246*1.1)-E246)*0.035+MAX(0,G246-E246*1.1)*0.05)</x:f>
        <x:v>475.55599999999816</x:v>
      </x:c>
      <x:c r="P246" s="74" t="n">
        <x:f>N246+O246</x:f>
        <x:v>1723.5559999999982</x:v>
      </x:c>
      <x:c r="Q246" s="76" t="n">
        <x:f>IF(G246&lt;=0,0,P246/G246)</x:f>
        <x:v>0.014777839739513765</x:v>
      </x:c>
    </x:row>
    <x:row r="247">
      <x:c r="A247" s="56" t="str">
        <x:v>EMP021</x:v>
      </x:c>
      <x:c r="B247" s="56" t="str">
        <x:v>Émilie Fortin</x:v>
      </x:c>
      <x:c r="C247" s="56" t="str">
        <x:v>AE II</x:v>
      </x:c>
      <x:c r="D247" s="56" t="str">
        <x:v>2026-06</x:v>
      </x:c>
      <x:c r="E247" s="72" t="n">
        <x:v>117000</x:v>
      </x:c>
      <x:c r="F247" s="72" t="n">
        <x:v>127531.61</x:v>
      </x:c>
      <x:c r="G247" s="72" t="n">
        <x:v>126624.23</x:v>
      </x:c>
      <x:c r="H247" s="72" t="n">
        <x:v>907.38</x:v>
      </x:c>
      <x:c r="I247" s="56" t="n">
        <x:v>0</x:v>
      </x:c>
      <x:c r="J247" s="56" t="n">
        <x:v>0</x:v>
      </x:c>
      <x:c r="K247" s="68" t="n">
        <x:f>IF(E247&lt;=0,"",G247/E247)</x:f>
        <x:v>1.082258376068376</x:v>
      </x:c>
      <x:c r="L247" t="str">
        <x:f>IF(K247="","Not Calculated",IF(K247&lt;0.8,"Below 80%",IF(K247&lt;1,"80%-99.99%",IF(K247&lt;1.1,"100%-109.99%",IF(K247&lt;1.75,"110%-174.99%","175%+ Review")))))</x:f>
        <x:v>100%-109.99%</x:v>
      </x:c>
      <x:c r="M247" s="56" t="str">
        <x:v>Ready for Commission Calculation</x:v>
      </x:c>
      <x:c r="N247" s="74" t="n">
        <x:f>IF(E247&lt;=0,0,MIN(G247,E247*0.8)*0.01+MAX(0,MIN(G247,E247)-E247*0.8)*0.02)</x:f>
        <x:v>1404</x:v>
      </x:c>
      <x:c r="O247" s="74" t="n">
        <x:f>IF(E247&lt;=0,0,MAX(0,MIN(G247,E247*1.1)-E247)*0.035+MAX(0,G247-E247*1.1)*0.05)</x:f>
        <x:v>336.8480499999999</x:v>
      </x:c>
      <x:c r="P247" s="74" t="n">
        <x:f>N247+O247</x:f>
        <x:v>1740.8480499999998</x:v>
      </x:c>
      <x:c r="Q247" s="76" t="n">
        <x:f>IF(G247&lt;=0,0,P247/G247)</x:f>
        <x:v>0.013748143226616263</x:v>
      </x:c>
    </x:row>
    <x:row r="248">
      <x:c r="A248" s="56" t="str">
        <x:v>EMP021</x:v>
      </x:c>
      <x:c r="B248" s="56" t="str">
        <x:v>Émilie Fortin</x:v>
      </x:c>
      <x:c r="C248" s="56" t="str">
        <x:v>AE II</x:v>
      </x:c>
      <x:c r="D248" s="56" t="str">
        <x:v>2026-07</x:v>
      </x:c>
      <x:c r="E248" s="72" t="n">
        <x:v>91000.00000000001</x:v>
      </x:c>
      <x:c r="F248" s="72" t="n">
        <x:v>105294.55</x:v>
      </x:c>
      <x:c r="G248" s="72" t="n">
        <x:v>97084.29</x:v>
      </x:c>
      <x:c r="H248" s="72" t="n">
        <x:v>610.26</x:v>
      </x:c>
      <x:c r="I248" s="56" t="n">
        <x:v>0</x:v>
      </x:c>
      <x:c r="J248" s="56" t="n">
        <x:v>1</x:v>
      </x:c>
      <x:c r="K248" s="68" t="n">
        <x:f>IF(E248&lt;=0,"",G248/E248)</x:f>
        <x:v>1.0668603296703294</x:v>
      </x:c>
      <x:c r="L248" t="str">
        <x:f>IF(K248="","Not Calculated",IF(K248&lt;0.8,"Below 80%",IF(K248&lt;1,"80%-99.99%",IF(K248&lt;1.1,"100%-109.99%",IF(K248&lt;1.75,"110%-174.99%","175%+ Review")))))</x:f>
        <x:v>100%-109.99%</x:v>
      </x:c>
      <x:c r="M248" s="56" t="str">
        <x:v>HOLD - Sales Credit</x:v>
      </x:c>
      <x:c r="N248" s="74" t="n">
        <x:f>IF(E248&lt;=0,0,MIN(G248,E248*0.8)*0.01+MAX(0,MIN(G248,E248)-E248*0.8)*0.02)</x:f>
        <x:v>1092</x:v>
      </x:c>
      <x:c r="O248" s="74" t="n">
        <x:f>IF(E248&lt;=0,0,MAX(0,MIN(G248,E248*1.1)-E248)*0.035+MAX(0,G248-E248*1.1)*0.05)</x:f>
        <x:v>212.9501499999993</x:v>
      </x:c>
      <x:c r="P248" s="74" t="n">
        <x:f>N248+O248</x:f>
        <x:v>1304.9501499999992</x:v>
      </x:c>
      <x:c r="Q248" s="76" t="n">
        <x:f>IF(G248&lt;=0,0,P248/G248)</x:f>
        <x:v>0.01344141415670856</x:v>
      </x:c>
    </x:row>
    <x:row r="249">
      <x:c r="A249" s="56" t="str">
        <x:v>EMP021</x:v>
      </x:c>
      <x:c r="B249" s="56" t="str">
        <x:v>Émilie Fortin</x:v>
      </x:c>
      <x:c r="C249" s="56" t="str">
        <x:v>AE II</x:v>
      </x:c>
      <x:c r="D249" s="56" t="str">
        <x:v>2026-08</x:v>
      </x:c>
      <x:c r="E249" s="72" t="n">
        <x:v>91000.00000000001</x:v>
      </x:c>
      <x:c r="F249" s="72" t="n">
        <x:v>97559.65</x:v>
      </x:c>
      <x:c r="G249" s="72" t="n">
        <x:v>96503.98</x:v>
      </x:c>
      <x:c r="H249" s="72" t="n">
        <x:v>1055.67</x:v>
      </x:c>
      <x:c r="I249" s="56" t="n">
        <x:v>0</x:v>
      </x:c>
      <x:c r="J249" s="56" t="n">
        <x:v>0</x:v>
      </x:c>
      <x:c r="K249" s="68" t="n">
        <x:f>IF(E249&lt;=0,"",G249/E249)</x:f>
        <x:v>1.0604832967032964</x:v>
      </x:c>
      <x:c r="L249" t="str">
        <x:f>IF(K249="","Not Calculated",IF(K249&lt;0.8,"Below 80%",IF(K249&lt;1,"80%-99.99%",IF(K249&lt;1.1,"100%-109.99%",IF(K249&lt;1.75,"110%-174.99%","175%+ Review")))))</x:f>
        <x:v>100%-109.99%</x:v>
      </x:c>
      <x:c r="M249" s="56" t="str">
        <x:v>Ready for Commission Calculation</x:v>
      </x:c>
      <x:c r="N249" s="74" t="n">
        <x:f>IF(E249&lt;=0,0,MIN(G249,E249*0.8)*0.01+MAX(0,MIN(G249,E249)-E249*0.8)*0.02)</x:f>
        <x:v>1092</x:v>
      </x:c>
      <x:c r="O249" s="74" t="n">
        <x:f>IF(E249&lt;=0,0,MAX(0,MIN(G249,E249*1.1)-E249)*0.035+MAX(0,G249-E249*1.1)*0.05)</x:f>
        <x:v>192.63929999999937</x:v>
      </x:c>
      <x:c r="P249" s="74" t="n">
        <x:f>N249+O249</x:f>
        <x:v>1284.6392999999994</x:v>
      </x:c>
      <x:c r="Q249" s="76" t="n">
        <x:f>IF(G249&lt;=0,0,P249/G249)</x:f>
        <x:v>0.01331177532781549</x:v>
      </x:c>
    </x:row>
    <x:row r="250">
      <x:c r="A250" s="56" t="str">
        <x:v>EMP021</x:v>
      </x:c>
      <x:c r="B250" s="56" t="str">
        <x:v>Émilie Fortin</x:v>
      </x:c>
      <x:c r="C250" s="56" t="str">
        <x:v>AE II</x:v>
      </x:c>
      <x:c r="D250" s="56" t="str">
        <x:v>2026-09</x:v>
      </x:c>
      <x:c r="E250" s="72" t="n">
        <x:v>130000</x:v>
      </x:c>
      <x:c r="F250" s="72" t="n">
        <x:v>143842.22</x:v>
      </x:c>
      <x:c r="G250" s="72" t="n">
        <x:v>143714.74</x:v>
      </x:c>
      <x:c r="H250" s="72" t="n">
        <x:v>127.48</x:v>
      </x:c>
      <x:c r="I250" s="56" t="n">
        <x:v>0</x:v>
      </x:c>
      <x:c r="J250" s="56" t="n">
        <x:v>0</x:v>
      </x:c>
      <x:c r="K250" s="68" t="n">
        <x:f>IF(E250&lt;=0,"",G250/E250)</x:f>
        <x:v>1.1054979999999999</x:v>
      </x:c>
      <x:c r="L250" t="str">
        <x:f>IF(K250="","Not Calculated",IF(K250&lt;0.8,"Below 80%",IF(K250&lt;1,"80%-99.99%",IF(K250&lt;1.1,"100%-109.99%",IF(K250&lt;1.75,"110%-174.99%","175%+ Review")))))</x:f>
        <x:v>110%-174.99%</x:v>
      </x:c>
      <x:c r="M250" s="56" t="str">
        <x:v>Ready for Commission Calculation</x:v>
      </x:c>
      <x:c r="N250" s="74" t="n">
        <x:f>IF(E250&lt;=0,0,MIN(G250,E250*0.8)*0.01+MAX(0,MIN(G250,E250)-E250*0.8)*0.02)</x:f>
        <x:v>1560</x:v>
      </x:c>
      <x:c r="O250" s="74" t="n">
        <x:f>IF(E250&lt;=0,0,MAX(0,MIN(G250,E250*1.1)-E250)*0.035+MAX(0,G250-E250*1.1)*0.05)</x:f>
        <x:v>490.73699999999957</x:v>
      </x:c>
      <x:c r="P250" s="74" t="n">
        <x:f>N250+O250</x:f>
        <x:v>2050.7369999999996</x:v>
      </x:c>
      <x:c r="Q250" s="76" t="n">
        <x:f>IF(G250&lt;=0,0,P250/G250)</x:f>
        <x:v>0.014269496643141822</x:v>
      </x:c>
    </x:row>
    <x:row r="251">
      <x:c r="A251" s="56" t="str">
        <x:v>EMP021</x:v>
      </x:c>
      <x:c r="B251" s="56" t="str">
        <x:v>Émilie Fortin</x:v>
      </x:c>
      <x:c r="C251" s="56" t="str">
        <x:v>AE II</x:v>
      </x:c>
      <x:c r="D251" s="56" t="str">
        <x:v>2026-10</x:v>
      </x:c>
      <x:c r="E251" s="72" t="n">
        <x:v>130000</x:v>
      </x:c>
      <x:c r="F251" s="72" t="n">
        <x:v>163870.84000000003</x:v>
      </x:c>
      <x:c r="G251" s="72" t="n">
        <x:v>163284.43000000002</x:v>
      </x:c>
      <x:c r="H251" s="72" t="n">
        <x:v>586.41</x:v>
      </x:c>
      <x:c r="I251" s="56" t="n">
        <x:v>0</x:v>
      </x:c>
      <x:c r="J251" s="56" t="n">
        <x:v>0</x:v>
      </x:c>
      <x:c r="K251" s="68" t="n">
        <x:f>IF(E251&lt;=0,"",G251/E251)</x:f>
        <x:v>1.2560340769230771</x:v>
      </x:c>
      <x:c r="L251" t="str">
        <x:f>IF(K251="","Not Calculated",IF(K251&lt;0.8,"Below 80%",IF(K251&lt;1,"80%-99.99%",IF(K251&lt;1.1,"100%-109.99%",IF(K251&lt;1.75,"110%-174.99%","175%+ Review")))))</x:f>
        <x:v>110%-174.99%</x:v>
      </x:c>
      <x:c r="M251" s="56" t="str">
        <x:v>Ready for Commission Calculation</x:v>
      </x:c>
      <x:c r="N251" s="74" t="n">
        <x:f>IF(E251&lt;=0,0,MIN(G251,E251*0.8)*0.01+MAX(0,MIN(G251,E251)-E251*0.8)*0.02)</x:f>
        <x:v>1560</x:v>
      </x:c>
      <x:c r="O251" s="74" t="n">
        <x:f>IF(E251&lt;=0,0,MAX(0,MIN(G251,E251*1.1)-E251)*0.035+MAX(0,G251-E251*1.1)*0.05)</x:f>
        <x:v>1469.2215000000012</x:v>
      </x:c>
      <x:c r="P251" s="74" t="n">
        <x:f>N251+O251</x:f>
        <x:v>3029.2215000000015</x:v>
      </x:c>
      <x:c r="Q251" s="76" t="n">
        <x:f>IF(G251&lt;=0,0,P251/G251)</x:f>
        <x:v>0.018551808644584184</x:v>
      </x:c>
    </x:row>
    <x:row r="252">
      <x:c r="A252" s="56" t="str">
        <x:v>EMP021</x:v>
      </x:c>
      <x:c r="B252" s="56" t="str">
        <x:v>Émilie Fortin</x:v>
      </x:c>
      <x:c r="C252" s="56" t="str">
        <x:v>AE II</x:v>
      </x:c>
      <x:c r="D252" s="56" t="str">
        <x:v>2026-11</x:v>
      </x:c>
      <x:c r="E252" s="72" t="n">
        <x:v>117000</x:v>
      </x:c>
      <x:c r="F252" s="72" t="n">
        <x:v>143594.32999999996</x:v>
      </x:c>
      <x:c r="G252" s="72" t="n">
        <x:v>141559.8</x:v>
      </x:c>
      <x:c r="H252" s="72" t="n">
        <x:v>2034.53</x:v>
      </x:c>
      <x:c r="I252" s="56" t="n">
        <x:v>0</x:v>
      </x:c>
      <x:c r="J252" s="56" t="n">
        <x:v>0</x:v>
      </x:c>
      <x:c r="K252" s="68" t="n">
        <x:f>IF(E252&lt;=0,"",G252/E252)</x:f>
        <x:v>1.2099128205128205</x:v>
      </x:c>
      <x:c r="L252" t="str">
        <x:f>IF(K252="","Not Calculated",IF(K252&lt;0.8,"Below 80%",IF(K252&lt;1,"80%-99.99%",IF(K252&lt;1.1,"100%-109.99%",IF(K252&lt;1.75,"110%-174.99%","175%+ Review")))))</x:f>
        <x:v>110%-174.99%</x:v>
      </x:c>
      <x:c r="M252" s="56" t="str">
        <x:v>Ready for Commission Calculation</x:v>
      </x:c>
      <x:c r="N252" s="74" t="n">
        <x:f>IF(E252&lt;=0,0,MIN(G252,E252*0.8)*0.01+MAX(0,MIN(G252,E252)-E252*0.8)*0.02)</x:f>
        <x:v>1404</x:v>
      </x:c>
      <x:c r="O252" s="74" t="n">
        <x:f>IF(E252&lt;=0,0,MAX(0,MIN(G252,E252*1.1)-E252)*0.035+MAX(0,G252-E252*1.1)*0.05)</x:f>
        <x:v>1052.4899999999993</x:v>
      </x:c>
      <x:c r="P252" s="74" t="n">
        <x:f>N252+O252</x:f>
        <x:v>2456.4899999999993</x:v>
      </x:c>
      <x:c r="Q252" s="76" t="n">
        <x:f>IF(G252&lt;=0,0,P252/G252)</x:f>
        <x:v>0.017353019713223665</x:v>
      </x:c>
    </x:row>
    <x:row r="253">
      <x:c r="A253" s="56" t="str">
        <x:v>EMP021</x:v>
      </x:c>
      <x:c r="B253" s="56" t="str">
        <x:v>Émilie Fortin</x:v>
      </x:c>
      <x:c r="C253" s="56" t="str">
        <x:v>AE II</x:v>
      </x:c>
      <x:c r="D253" s="56" t="str">
        <x:v>2026-12</x:v>
      </x:c>
      <x:c r="E253" s="72" t="n">
        <x:v>130000</x:v>
      </x:c>
      <x:c r="F253" s="72" t="n">
        <x:v>148073.4</x:v>
      </x:c>
      <x:c r="G253" s="72" t="n">
        <x:v>147961.93</x:v>
      </x:c>
      <x:c r="H253" s="72" t="n">
        <x:v>111.47</x:v>
      </x:c>
      <x:c r="I253" s="56" t="n">
        <x:v>0</x:v>
      </x:c>
      <x:c r="J253" s="56" t="n">
        <x:v>0</x:v>
      </x:c>
      <x:c r="K253" s="68" t="n">
        <x:f>IF(E253&lt;=0,"",G253/E253)</x:f>
        <x:v>1.1381686923076924</x:v>
      </x:c>
      <x:c r="L253" t="str">
        <x:f>IF(K253="","Not Calculated",IF(K253&lt;0.8,"Below 80%",IF(K253&lt;1,"80%-99.99%",IF(K253&lt;1.1,"100%-109.99%",IF(K253&lt;1.75,"110%-174.99%","175%+ Review")))))</x:f>
        <x:v>110%-174.99%</x:v>
      </x:c>
      <x:c r="M253" s="56" t="str">
        <x:v>Ready for Commission Calculation</x:v>
      </x:c>
      <x:c r="N253" s="74" t="n">
        <x:f>IF(E253&lt;=0,0,MIN(G253,E253*0.8)*0.01+MAX(0,MIN(G253,E253)-E253*0.8)*0.02)</x:f>
        <x:v>1560</x:v>
      </x:c>
      <x:c r="O253" s="74" t="n">
        <x:f>IF(E253&lt;=0,0,MAX(0,MIN(G253,E253*1.1)-E253)*0.035+MAX(0,G253-E253*1.1)*0.05)</x:f>
        <x:v>703.0964999999997</x:v>
      </x:c>
      <x:c r="P253" s="74" t="n">
        <x:f>N253+O253</x:f>
        <x:v>2263.0964999999997</x:v>
      </x:c>
      <x:c r="Q253" s="76" t="n">
        <x:f>IF(G253&lt;=0,0,P253/G253)</x:f>
        <x:v>0.015295126928933677</x:v>
      </x:c>
    </x:row>
    <x:row r="254">
      <x:c r="A254" s="56" t="str">
        <x:v>EMP022</x:v>
      </x:c>
      <x:c r="B254" s="56" t="str">
        <x:v>Adam Haddad</x:v>
      </x:c>
      <x:c r="C254" s="56" t="str">
        <x:v>Senior AE</x:v>
      </x:c>
      <x:c r="D254" s="56" t="str">
        <x:v>2026-01</x:v>
      </x:c>
      <x:c r="E254" s="72" t="n">
        <x:v>0</x:v>
      </x:c>
      <x:c r="F254" s="72" t="n">
        <x:v>0</x:v>
      </x:c>
      <x:c r="G254" s="72" t="n">
        <x:v>0</x:v>
      </x:c>
      <x:c r="H254" s="72" t="n">
        <x:v>0</x:v>
      </x:c>
      <x:c r="I254" s="56" t="n">
        <x:v>0</x:v>
      </x:c>
      <x:c r="J254" s="56" t="n">
        <x:v>0</x:v>
      </x:c>
      <x:c r="K254" s="68" t="str">
        <x:f>IF(E254&lt;=0,"",G254/E254)</x:f>
      </x:c>
      <x:c r="L254" t="str">
        <x:f>IF(K254="","Not Calculated",IF(K254&lt;0.8,"Below 80%",IF(K254&lt;1,"80%-99.99%",IF(K254&lt;1.1,"100%-109.99%",IF(K254&lt;1.75,"110%-174.99%","175%+ Review")))))</x:f>
        <x:v>Not Calculated</x:v>
      </x:c>
      <x:c r="M254" s="56" t="str">
        <x:v>Not Applicable</x:v>
      </x:c>
      <x:c r="N254" s="74" t="n">
        <x:f>IF(E254&lt;=0,0,MIN(G254,E254*0.8)*0.01+MAX(0,MIN(G254,E254)-E254*0.8)*0.02)</x:f>
        <x:v>0</x:v>
      </x:c>
      <x:c r="O254" s="74" t="n">
        <x:f>IF(E254&lt;=0,0,MAX(0,MIN(G254,E254*1.1)-E254)*0.035+MAX(0,G254-E254*1.1)*0.05)</x:f>
        <x:v>0</x:v>
      </x:c>
      <x:c r="P254" s="74" t="n">
        <x:f>N254+O254</x:f>
        <x:v>0</x:v>
      </x:c>
      <x:c r="Q254" s="76" t="n">
        <x:f>IF(G254&lt;=0,0,P254/G254)</x:f>
        <x:v>0</x:v>
      </x:c>
    </x:row>
    <x:row r="255">
      <x:c r="A255" s="56" t="str">
        <x:v>EMP022</x:v>
      </x:c>
      <x:c r="B255" s="56" t="str">
        <x:v>Adam Haddad</x:v>
      </x:c>
      <x:c r="C255" s="56" t="str">
        <x:v>Senior AE</x:v>
      </x:c>
      <x:c r="D255" s="56" t="str">
        <x:v>2026-02</x:v>
      </x:c>
      <x:c r="E255" s="72" t="n">
        <x:v>0</x:v>
      </x:c>
      <x:c r="F255" s="72" t="n">
        <x:v>0</x:v>
      </x:c>
      <x:c r="G255" s="72" t="n">
        <x:v>0</x:v>
      </x:c>
      <x:c r="H255" s="72" t="n">
        <x:v>0</x:v>
      </x:c>
      <x:c r="I255" s="56" t="n">
        <x:v>0</x:v>
      </x:c>
      <x:c r="J255" s="56" t="n">
        <x:v>0</x:v>
      </x:c>
      <x:c r="K255" s="68" t="str">
        <x:f>IF(E255&lt;=0,"",G255/E255)</x:f>
      </x:c>
      <x:c r="L255" t="str">
        <x:f>IF(K255="","Not Calculated",IF(K255&lt;0.8,"Below 80%",IF(K255&lt;1,"80%-99.99%",IF(K255&lt;1.1,"100%-109.99%",IF(K255&lt;1.75,"110%-174.99%","175%+ Review")))))</x:f>
        <x:v>Not Calculated</x:v>
      </x:c>
      <x:c r="M255" s="56" t="str">
        <x:v>Not Applicable</x:v>
      </x:c>
      <x:c r="N255" s="74" t="n">
        <x:f>IF(E255&lt;=0,0,MIN(G255,E255*0.8)*0.01+MAX(0,MIN(G255,E255)-E255*0.8)*0.02)</x:f>
        <x:v>0</x:v>
      </x:c>
      <x:c r="O255" s="74" t="n">
        <x:f>IF(E255&lt;=0,0,MAX(0,MIN(G255,E255*1.1)-E255)*0.035+MAX(0,G255-E255*1.1)*0.05)</x:f>
        <x:v>0</x:v>
      </x:c>
      <x:c r="P255" s="74" t="n">
        <x:f>N255+O255</x:f>
        <x:v>0</x:v>
      </x:c>
      <x:c r="Q255" s="76" t="n">
        <x:f>IF(G255&lt;=0,0,P255/G255)</x:f>
        <x:v>0</x:v>
      </x:c>
    </x:row>
    <x:row r="256">
      <x:c r="A256" s="56" t="str">
        <x:v>EMP022</x:v>
      </x:c>
      <x:c r="B256" s="56" t="str">
        <x:v>Adam Haddad</x:v>
      </x:c>
      <x:c r="C256" s="56" t="str">
        <x:v>Senior AE</x:v>
      </x:c>
      <x:c r="D256" s="56" t="str">
        <x:v>2026-03</x:v>
      </x:c>
      <x:c r="E256" s="72" t="n">
        <x:v>0</x:v>
      </x:c>
      <x:c r="F256" s="72" t="n">
        <x:v>53375.270000000004</x:v>
      </x:c>
      <x:c r="G256" s="72" t="n">
        <x:v>53375.270000000004</x:v>
      </x:c>
      <x:c r="H256" s="72" t="n">
        <x:v>0</x:v>
      </x:c>
      <x:c r="I256" s="56" t="n">
        <x:v>0</x:v>
      </x:c>
      <x:c r="J256" s="56" t="n">
        <x:v>0</x:v>
      </x:c>
      <x:c r="K256" s="68" t="str">
        <x:f>IF(E256&lt;=0,"",G256/E256)</x:f>
      </x:c>
      <x:c r="L256" t="str">
        <x:f>IF(K256="","Not Calculated",IF(K256&lt;0.8,"Below 80%",IF(K256&lt;1,"80%-99.99%",IF(K256&lt;1.1,"100%-109.99%",IF(K256&lt;1.75,"110%-174.99%","175%+ Review")))))</x:f>
        <x:v>Not Calculated</x:v>
      </x:c>
      <x:c r="M256" s="56" t="str">
        <x:v>HOLD - Quota</x:v>
      </x:c>
      <x:c r="N256" s="74" t="n">
        <x:f>IF(E256&lt;=0,0,MIN(G256,E256*0.8)*0.01+MAX(0,MIN(G256,E256)-E256*0.8)*0.02)</x:f>
        <x:v>0</x:v>
      </x:c>
      <x:c r="O256" s="74" t="n">
        <x:f>IF(E256&lt;=0,0,MAX(0,MIN(G256,E256*1.1)-E256)*0.035+MAX(0,G256-E256*1.1)*0.05)</x:f>
        <x:v>0</x:v>
      </x:c>
      <x:c r="P256" s="74" t="n">
        <x:f>N256+O256</x:f>
        <x:v>0</x:v>
      </x:c>
      <x:c r="Q256" s="76" t="n">
        <x:f>IF(G256&lt;=0,0,P256/G256)</x:f>
        <x:v>0</x:v>
      </x:c>
    </x:row>
    <x:row r="257">
      <x:c r="A257" s="56" t="str">
        <x:v>EMP022</x:v>
      </x:c>
      <x:c r="B257" s="56" t="str">
        <x:v>Adam Haddad</x:v>
      </x:c>
      <x:c r="C257" s="56" t="str">
        <x:v>Senior AE</x:v>
      </x:c>
      <x:c r="D257" s="56" t="str">
        <x:v>2026-04</x:v>
      </x:c>
      <x:c r="E257" s="72" t="n">
        <x:v>112200</x:v>
      </x:c>
      <x:c r="F257" s="72" t="n">
        <x:v>111473.54999999999</x:v>
      </x:c>
      <x:c r="G257" s="72" t="n">
        <x:v>110860.48999999999</x:v>
      </x:c>
      <x:c r="H257" s="72" t="n">
        <x:v>613.06</x:v>
      </x:c>
      <x:c r="I257" s="56" t="n">
        <x:v>0</x:v>
      </x:c>
      <x:c r="J257" s="56" t="n">
        <x:v>0</x:v>
      </x:c>
      <x:c r="K257" s="68" t="n">
        <x:f>IF(E257&lt;=0,"",G257/E257)</x:f>
        <x:v>0.9880614081996434</x:v>
      </x:c>
      <x:c r="L257" t="str">
        <x:f>IF(K257="","Not Calculated",IF(K257&lt;0.8,"Below 80%",IF(K257&lt;1,"80%-99.99%",IF(K257&lt;1.1,"100%-109.99%",IF(K257&lt;1.75,"110%-174.99%","175%+ Review")))))</x:f>
        <x:v>80%-99.99%</x:v>
      </x:c>
      <x:c r="M257" s="56" t="str">
        <x:v>Ready for Commission Calculation</x:v>
      </x:c>
      <x:c r="N257" s="74" t="n">
        <x:f>IF(E257&lt;=0,0,MIN(G257,E257*0.8)*0.01+MAX(0,MIN(G257,E257)-E257*0.8)*0.02)</x:f>
        <x:v>1319.6097999999997</x:v>
      </x:c>
      <x:c r="O257" s="74" t="n">
        <x:f>IF(E257&lt;=0,0,MAX(0,MIN(G257,E257*1.1)-E257)*0.035+MAX(0,G257-E257*1.1)*0.05)</x:f>
        <x:v>0</x:v>
      </x:c>
      <x:c r="P257" s="74" t="n">
        <x:f>N257+O257</x:f>
        <x:v>1319.6097999999997</x:v>
      </x:c>
      <x:c r="Q257" s="76" t="n">
        <x:f>IF(G257&lt;=0,0,P257/G257)</x:f>
        <x:v>0.011903337248464261</x:v>
      </x:c>
    </x:row>
    <x:row r="258">
      <x:c r="A258" s="56" t="str">
        <x:v>EMP022</x:v>
      </x:c>
      <x:c r="B258" s="56" t="str">
        <x:v>Adam Haddad</x:v>
      </x:c>
      <x:c r="C258" s="56" t="str">
        <x:v>Senior AE</x:v>
      </x:c>
      <x:c r="D258" s="56" t="str">
        <x:v>2026-05</x:v>
      </x:c>
      <x:c r="E258" s="72" t="n">
        <x:v>149600</x:v>
      </x:c>
      <x:c r="F258" s="72" t="n">
        <x:v>142991.96</x:v>
      </x:c>
      <x:c r="G258" s="72" t="n">
        <x:v>132341.41999999998</x:v>
      </x:c>
      <x:c r="H258" s="72" t="n">
        <x:v>10650.54</x:v>
      </x:c>
      <x:c r="I258" s="56" t="n">
        <x:v>0</x:v>
      </x:c>
      <x:c r="J258" s="56" t="n">
        <x:v>0</x:v>
      </x:c>
      <x:c r="K258" s="68" t="n">
        <x:f>IF(E258&lt;=0,"",G258/E258)</x:f>
        <x:v>0.8846351604278074</x:v>
      </x:c>
      <x:c r="L258" t="str">
        <x:f>IF(K258="","Not Calculated",IF(K258&lt;0.8,"Below 80%",IF(K258&lt;1,"80%-99.99%",IF(K258&lt;1.1,"100%-109.99%",IF(K258&lt;1.75,"110%-174.99%","175%+ Review")))))</x:f>
        <x:v>80%-99.99%</x:v>
      </x:c>
      <x:c r="M258" s="56" t="str">
        <x:v>Ready for Commission Calculation</x:v>
      </x:c>
      <x:c r="N258" s="74" t="n">
        <x:f>IF(E258&lt;=0,0,MIN(G258,E258*0.8)*0.01+MAX(0,MIN(G258,E258)-E258*0.8)*0.02)</x:f>
        <x:v>1450.0283999999997</x:v>
      </x:c>
      <x:c r="O258" s="74" t="n">
        <x:f>IF(E258&lt;=0,0,MAX(0,MIN(G258,E258*1.1)-E258)*0.035+MAX(0,G258-E258*1.1)*0.05)</x:f>
        <x:v>0</x:v>
      </x:c>
      <x:c r="P258" s="74" t="n">
        <x:f>N258+O258</x:f>
        <x:v>1450.0283999999997</x:v>
      </x:c>
      <x:c r="Q258" s="76" t="n">
        <x:f>IF(G258&lt;=0,0,P258/G258)</x:f>
        <x:v>0.010956723903975035</x:v>
      </x:c>
    </x:row>
    <x:row r="259">
      <x:c r="A259" s="56" t="str">
        <x:v>EMP022</x:v>
      </x:c>
      <x:c r="B259" s="56" t="str">
        <x:v>Adam Haddad</x:v>
      </x:c>
      <x:c r="C259" s="56" t="str">
        <x:v>Senior AE</x:v>
      </x:c>
      <x:c r="D259" s="56" t="str">
        <x:v>2026-06</x:v>
      </x:c>
      <x:c r="E259" s="72" t="n">
        <x:v>168300</x:v>
      </x:c>
      <x:c r="F259" s="72" t="n">
        <x:v>154021.29</x:v>
      </x:c>
      <x:c r="G259" s="72" t="n">
        <x:v>154021.29</x:v>
      </x:c>
      <x:c r="H259" s="72" t="n">
        <x:v>0</x:v>
      </x:c>
      <x:c r="I259" s="56" t="n">
        <x:v>0</x:v>
      </x:c>
      <x:c r="J259" s="56" t="n">
        <x:v>0</x:v>
      </x:c>
      <x:c r="K259" s="68" t="n">
        <x:f>IF(E259&lt;=0,"",G259/E259)</x:f>
        <x:v>0.9151591800356507</x:v>
      </x:c>
      <x:c r="L259" t="str">
        <x:f>IF(K259="","Not Calculated",IF(K259&lt;0.8,"Below 80%",IF(K259&lt;1,"80%-99.99%",IF(K259&lt;1.1,"100%-109.99%",IF(K259&lt;1.75,"110%-174.99%","175%+ Review")))))</x:f>
        <x:v>80%-99.99%</x:v>
      </x:c>
      <x:c r="M259" s="56" t="str">
        <x:v>Ready for Commission Calculation</x:v>
      </x:c>
      <x:c r="N259" s="74" t="n">
        <x:f>IF(E259&lt;=0,0,MIN(G259,E259*0.8)*0.01+MAX(0,MIN(G259,E259)-E259*0.8)*0.02)</x:f>
        <x:v>1734.0258000000003</x:v>
      </x:c>
      <x:c r="O259" s="74" t="n">
        <x:f>IF(E259&lt;=0,0,MAX(0,MIN(G259,E259*1.1)-E259)*0.035+MAX(0,G259-E259*1.1)*0.05)</x:f>
        <x:v>0</x:v>
      </x:c>
      <x:c r="P259" s="74" t="n">
        <x:f>N259+O259</x:f>
        <x:v>1734.0258000000003</x:v>
      </x:c>
      <x:c r="Q259" s="76" t="n">
        <x:f>IF(G259&lt;=0,0,P259/G259)</x:f>
        <x:v>0.01125835136168513</x:v>
      </x:c>
    </x:row>
    <x:row r="260">
      <x:c r="A260" s="56" t="str">
        <x:v>EMP022</x:v>
      </x:c>
      <x:c r="B260" s="56" t="str">
        <x:v>Adam Haddad</x:v>
      </x:c>
      <x:c r="C260" s="56" t="str">
        <x:v>Senior AE</x:v>
      </x:c>
      <x:c r="D260" s="56" t="str">
        <x:v>2026-07</x:v>
      </x:c>
      <x:c r="E260" s="72" t="n">
        <x:v>130900.00000000001</x:v>
      </x:c>
      <x:c r="F260" s="72" t="n">
        <x:v>115144.79</x:v>
      </x:c>
      <x:c r="G260" s="72" t="n">
        <x:v>114680.26</x:v>
      </x:c>
      <x:c r="H260" s="72" t="n">
        <x:v>464.53</x:v>
      </x:c>
      <x:c r="I260" s="56" t="n">
        <x:v>0</x:v>
      </x:c>
      <x:c r="J260" s="56" t="n">
        <x:v>0</x:v>
      </x:c>
      <x:c r="K260" s="68" t="n">
        <x:f>IF(E260&lt;=0,"",G260/E260)</x:f>
        <x:v>0.8760906035141328</x:v>
      </x:c>
      <x:c r="L260" t="str">
        <x:f>IF(K260="","Not Calculated",IF(K260&lt;0.8,"Below 80%",IF(K260&lt;1,"80%-99.99%",IF(K260&lt;1.1,"100%-109.99%",IF(K260&lt;1.75,"110%-174.99%","175%+ Review")))))</x:f>
        <x:v>80%-99.99%</x:v>
      </x:c>
      <x:c r="M260" s="56" t="str">
        <x:v>Ready for Commission Calculation</x:v>
      </x:c>
      <x:c r="N260" s="74" t="n">
        <x:f>IF(E260&lt;=0,0,MIN(G260,E260*0.8)*0.01+MAX(0,MIN(G260,E260)-E260*0.8)*0.02)</x:f>
        <x:v>1246.4052</x:v>
      </x:c>
      <x:c r="O260" s="74" t="n">
        <x:f>IF(E260&lt;=0,0,MAX(0,MIN(G260,E260*1.1)-E260)*0.035+MAX(0,G260-E260*1.1)*0.05)</x:f>
        <x:v>0</x:v>
      </x:c>
      <x:c r="P260" s="74" t="n">
        <x:f>N260+O260</x:f>
        <x:v>1246.4052</x:v>
      </x:c>
      <x:c r="Q260" s="76" t="n">
        <x:f>IF(G260&lt;=0,0,P260/G260)</x:f>
        <x:v>0.010868524365047654</x:v>
      </x:c>
    </x:row>
    <x:row r="261">
      <x:c r="A261" s="56" t="str">
        <x:v>EMP022</x:v>
      </x:c>
      <x:c r="B261" s="56" t="str">
        <x:v>Adam Haddad</x:v>
      </x:c>
      <x:c r="C261" s="56" t="str">
        <x:v>Senior AE</x:v>
      </x:c>
      <x:c r="D261" s="56" t="str">
        <x:v>2026-08</x:v>
      </x:c>
      <x:c r="E261" s="72" t="n">
        <x:v>130900.00000000001</x:v>
      </x:c>
      <x:c r="F261" s="72" t="n">
        <x:v>133586.18000000002</x:v>
      </x:c>
      <x:c r="G261" s="72" t="n">
        <x:v>133586.18000000002</x:v>
      </x:c>
      <x:c r="H261" s="72" t="n">
        <x:v>0</x:v>
      </x:c>
      <x:c r="I261" s="56" t="n">
        <x:v>0</x:v>
      </x:c>
      <x:c r="J261" s="56" t="n">
        <x:v>0</x:v>
      </x:c>
      <x:c r="K261" s="68" t="n">
        <x:f>IF(E261&lt;=0,"",G261/E261)</x:f>
        <x:v>1.0205208556149734</x:v>
      </x:c>
      <x:c r="L261" t="str">
        <x:f>IF(K261="","Not Calculated",IF(K261&lt;0.8,"Below 80%",IF(K261&lt;1,"80%-99.99%",IF(K261&lt;1.1,"100%-109.99%",IF(K261&lt;1.75,"110%-174.99%","175%+ Review")))))</x:f>
        <x:v>100%-109.99%</x:v>
      </x:c>
      <x:c r="M261" s="56" t="str">
        <x:v>Ready for Commission Calculation</x:v>
      </x:c>
      <x:c r="N261" s="74" t="n">
        <x:f>IF(E261&lt;=0,0,MIN(G261,E261*0.8)*0.01+MAX(0,MIN(G261,E261)-E261*0.8)*0.02)</x:f>
        <x:v>1570.8000000000002</x:v>
      </x:c>
      <x:c r="O261" s="74" t="n">
        <x:f>IF(E261&lt;=0,0,MAX(0,MIN(G261,E261*1.1)-E261)*0.035+MAX(0,G261-E261*1.1)*0.05)</x:f>
        <x:v>94.01630000000027</x:v>
      </x:c>
      <x:c r="P261" s="74" t="n">
        <x:f>N261+O261</x:f>
        <x:v>1664.8163000000004</x:v>
      </x:c>
      <x:c r="Q261" s="76" t="n">
        <x:f>IF(G261&lt;=0,0,P261/G261)</x:f>
        <x:v>0.012462489008967844</x:v>
      </x:c>
    </x:row>
    <x:row r="262">
      <x:c r="A262" s="56" t="str">
        <x:v>EMP022</x:v>
      </x:c>
      <x:c r="B262" s="56" t="str">
        <x:v>Adam Haddad</x:v>
      </x:c>
      <x:c r="C262" s="56" t="str">
        <x:v>Senior AE</x:v>
      </x:c>
      <x:c r="D262" s="56" t="str">
        <x:v>2026-09</x:v>
      </x:c>
      <x:c r="E262" s="72" t="n">
        <x:v>187000</x:v>
      </x:c>
      <x:c r="F262" s="72" t="n">
        <x:v>174435.85</x:v>
      </x:c>
      <x:c r="G262" s="72" t="n">
        <x:v>174024.58</x:v>
      </x:c>
      <x:c r="H262" s="72" t="n">
        <x:v>411.27</x:v>
      </x:c>
      <x:c r="I262" s="56" t="n">
        <x:v>0</x:v>
      </x:c>
      <x:c r="J262" s="56" t="n">
        <x:v>0</x:v>
      </x:c>
      <x:c r="K262" s="68" t="n">
        <x:f>IF(E262&lt;=0,"",G262/E262)</x:f>
        <x:v>0.9306127272727273</x:v>
      </x:c>
      <x:c r="L262" t="str">
        <x:f>IF(K262="","Not Calculated",IF(K262&lt;0.8,"Below 80%",IF(K262&lt;1,"80%-99.99%",IF(K262&lt;1.1,"100%-109.99%",IF(K262&lt;1.75,"110%-174.99%","175%+ Review")))))</x:f>
        <x:v>80%-99.99%</x:v>
      </x:c>
      <x:c r="M262" s="56" t="str">
        <x:v>Ready for Commission Calculation</x:v>
      </x:c>
      <x:c r="N262" s="74" t="n">
        <x:f>IF(E262&lt;=0,0,MIN(G262,E262*0.8)*0.01+MAX(0,MIN(G262,E262)-E262*0.8)*0.02)</x:f>
        <x:v>1984.4915999999998</x:v>
      </x:c>
      <x:c r="O262" s="74" t="n">
        <x:f>IF(E262&lt;=0,0,MAX(0,MIN(G262,E262*1.1)-E262)*0.035+MAX(0,G262-E262*1.1)*0.05)</x:f>
        <x:v>0</x:v>
      </x:c>
      <x:c r="P262" s="74" t="n">
        <x:f>N262+O262</x:f>
        <x:v>1984.4915999999998</x:v>
      </x:c>
      <x:c r="Q262" s="76" t="n">
        <x:f>IF(G262&lt;=0,0,P262/G262)</x:f>
        <x:v>0.01140351322784402</x:v>
      </x:c>
    </x:row>
    <x:row r="263">
      <x:c r="A263" s="56" t="str">
        <x:v>EMP022</x:v>
      </x:c>
      <x:c r="B263" s="56" t="str">
        <x:v>Adam Haddad</x:v>
      </x:c>
      <x:c r="C263" s="56" t="str">
        <x:v>Senior AE</x:v>
      </x:c>
      <x:c r="D263" s="56" t="str">
        <x:v>2026-10</x:v>
      </x:c>
      <x:c r="E263" s="72" t="n">
        <x:v>187000</x:v>
      </x:c>
      <x:c r="F263" s="72" t="n">
        <x:v>198593.54</x:v>
      </x:c>
      <x:c r="G263" s="72" t="n">
        <x:v>198593.54</x:v>
      </x:c>
      <x:c r="H263" s="72" t="n">
        <x:v>0</x:v>
      </x:c>
      <x:c r="I263" s="56" t="n">
        <x:v>0</x:v>
      </x:c>
      <x:c r="J263" s="56" t="n">
        <x:v>0</x:v>
      </x:c>
      <x:c r="K263" s="68" t="n">
        <x:f>IF(E263&lt;=0,"",G263/E263)</x:f>
        <x:v>1.061997540106952</x:v>
      </x:c>
      <x:c r="L263" t="str">
        <x:f>IF(K263="","Not Calculated",IF(K263&lt;0.8,"Below 80%",IF(K263&lt;1,"80%-99.99%",IF(K263&lt;1.1,"100%-109.99%",IF(K263&lt;1.75,"110%-174.99%","175%+ Review")))))</x:f>
        <x:v>100%-109.99%</x:v>
      </x:c>
      <x:c r="M263" s="56" t="str">
        <x:v>Ready for Commission Calculation</x:v>
      </x:c>
      <x:c r="N263" s="74" t="n">
        <x:f>IF(E263&lt;=0,0,MIN(G263,E263*0.8)*0.01+MAX(0,MIN(G263,E263)-E263*0.8)*0.02)</x:f>
        <x:v>2244</x:v>
      </x:c>
      <x:c r="O263" s="74" t="n">
        <x:f>IF(E263&lt;=0,0,MAX(0,MIN(G263,E263*1.1)-E263)*0.035+MAX(0,G263-E263*1.1)*0.05)</x:f>
        <x:v>405.7739000000003</x:v>
      </x:c>
      <x:c r="P263" s="74" t="n">
        <x:f>N263+O263</x:f>
        <x:v>2649.7739</x:v>
      </x:c>
      <x:c r="Q263" s="76" t="n">
        <x:f>IF(G263&lt;=0,0,P263/G263)</x:f>
        <x:v>0.01334269936474268</x:v>
      </x:c>
    </x:row>
    <x:row r="264">
      <x:c r="A264" s="56" t="str">
        <x:v>EMP022</x:v>
      </x:c>
      <x:c r="B264" s="56" t="str">
        <x:v>Adam Haddad</x:v>
      </x:c>
      <x:c r="C264" s="56" t="str">
        <x:v>Senior AE</x:v>
      </x:c>
      <x:c r="D264" s="56" t="str">
        <x:v>2026-11</x:v>
      </x:c>
      <x:c r="E264" s="72" t="n">
        <x:v>168300</x:v>
      </x:c>
      <x:c r="F264" s="72" t="n">
        <x:v>162774.12999999998</x:v>
      </x:c>
      <x:c r="G264" s="72" t="n">
        <x:v>162774.12999999998</x:v>
      </x:c>
      <x:c r="H264" s="72" t="n">
        <x:v>0</x:v>
      </x:c>
      <x:c r="I264" s="56" t="n">
        <x:v>0</x:v>
      </x:c>
      <x:c r="J264" s="56" t="n">
        <x:v>0</x:v>
      </x:c>
      <x:c r="K264" s="68" t="n">
        <x:f>IF(E264&lt;=0,"",G264/E264)</x:f>
        <x:v>0.9671665478312536</x:v>
      </x:c>
      <x:c r="L264" t="str">
        <x:f>IF(K264="","Not Calculated",IF(K264&lt;0.8,"Below 80%",IF(K264&lt;1,"80%-99.99%",IF(K264&lt;1.1,"100%-109.99%",IF(K264&lt;1.75,"110%-174.99%","175%+ Review")))))</x:f>
        <x:v>80%-99.99%</x:v>
      </x:c>
      <x:c r="M264" s="56" t="str">
        <x:v>Ready for Commission Calculation</x:v>
      </x:c>
      <x:c r="N264" s="74" t="n">
        <x:f>IF(E264&lt;=0,0,MIN(G264,E264*0.8)*0.01+MAX(0,MIN(G264,E264)-E264*0.8)*0.02)</x:f>
        <x:v>1909.0825999999997</x:v>
      </x:c>
      <x:c r="O264" s="74" t="n">
        <x:f>IF(E264&lt;=0,0,MAX(0,MIN(G264,E264*1.1)-E264)*0.035+MAX(0,G264-E264*1.1)*0.05)</x:f>
        <x:v>0</x:v>
      </x:c>
      <x:c r="P264" s="74" t="n">
        <x:f>N264+O264</x:f>
        <x:v>1909.0825999999997</x:v>
      </x:c>
      <x:c r="Q264" s="76" t="n">
        <x:f>IF(G264&lt;=0,0,P264/G264)</x:f>
        <x:v>0.011728415320051165</x:v>
      </x:c>
    </x:row>
    <x:row r="265">
      <x:c r="A265" s="56" t="str">
        <x:v>EMP022</x:v>
      </x:c>
      <x:c r="B265" s="56" t="str">
        <x:v>Adam Haddad</x:v>
      </x:c>
      <x:c r="C265" s="56" t="str">
        <x:v>Senior AE</x:v>
      </x:c>
      <x:c r="D265" s="56" t="str">
        <x:v>2026-12</x:v>
      </x:c>
      <x:c r="E265" s="72" t="n">
        <x:v>187000</x:v>
      </x:c>
      <x:c r="F265" s="72" t="n">
        <x:v>195137.32</x:v>
      </x:c>
      <x:c r="G265" s="72" t="n">
        <x:v>195137.32</x:v>
      </x:c>
      <x:c r="H265" s="72" t="n">
        <x:v>0</x:v>
      </x:c>
      <x:c r="I265" s="56" t="n">
        <x:v>0</x:v>
      </x:c>
      <x:c r="J265" s="56" t="n">
        <x:v>0</x:v>
      </x:c>
      <x:c r="K265" s="68" t="n">
        <x:f>IF(E265&lt;=0,"",G265/E265)</x:f>
        <x:v>1.0435150802139037</x:v>
      </x:c>
      <x:c r="L265" t="str">
        <x:f>IF(K265="","Not Calculated",IF(K265&lt;0.8,"Below 80%",IF(K265&lt;1,"80%-99.99%",IF(K265&lt;1.1,"100%-109.99%",IF(K265&lt;1.75,"110%-174.99%","175%+ Review")))))</x:f>
        <x:v>100%-109.99%</x:v>
      </x:c>
      <x:c r="M265" s="56" t="str">
        <x:v>Ready for Commission Calculation</x:v>
      </x:c>
      <x:c r="N265" s="74" t="n">
        <x:f>IF(E265&lt;=0,0,MIN(G265,E265*0.8)*0.01+MAX(0,MIN(G265,E265)-E265*0.8)*0.02)</x:f>
        <x:v>2244</x:v>
      </x:c>
      <x:c r="O265" s="74" t="n">
        <x:f>IF(E265&lt;=0,0,MAX(0,MIN(G265,E265*1.1)-E265)*0.035+MAX(0,G265-E265*1.1)*0.05)</x:f>
        <x:v>284.8062000000003</x:v>
      </x:c>
      <x:c r="P265" s="74" t="n">
        <x:f>N265+O265</x:f>
        <x:v>2528.8062000000004</x:v>
      </x:c>
      <x:c r="Q265" s="76" t="n">
        <x:f>IF(G265&lt;=0,0,P265/G265)</x:f>
        <x:v>0.0129591110506181</x:v>
      </x:c>
    </x:row>
    <x:row r="266">
      <x:c r="A266" s="56" t="str">
        <x:v>EMP023</x:v>
      </x:c>
      <x:c r="B266" s="56" t="str">
        <x:v>Maude Lavoie</x:v>
      </x:c>
      <x:c r="C266" s="56" t="str">
        <x:v>Senior AE</x:v>
      </x:c>
      <x:c r="D266" s="56" t="str">
        <x:v>2026-01</x:v>
      </x:c>
      <x:c r="E266" s="72" t="n">
        <x:v>132300</x:v>
      </x:c>
      <x:c r="F266" s="72" t="n">
        <x:v>117397.55</x:v>
      </x:c>
      <x:c r="G266" s="72" t="n">
        <x:v>107273.01000000001</x:v>
      </x:c>
      <x:c r="H266" s="72" t="n">
        <x:v>10124.54</x:v>
      </x:c>
      <x:c r="I266" s="56" t="n">
        <x:v>0</x:v>
      </x:c>
      <x:c r="J266" s="56" t="n">
        <x:v>0</x:v>
      </x:c>
      <x:c r="K266" s="68" t="n">
        <x:f>IF(E266&lt;=0,"",G266/E266)</x:f>
        <x:v>0.8108315192743765</x:v>
      </x:c>
      <x:c r="L266" t="str">
        <x:f>IF(K266="","Not Calculated",IF(K266&lt;0.8,"Below 80%",IF(K266&lt;1,"80%-99.99%",IF(K266&lt;1.1,"100%-109.99%",IF(K266&lt;1.75,"110%-174.99%","175%+ Review")))))</x:f>
        <x:v>80%-99.99%</x:v>
      </x:c>
      <x:c r="M266" s="56" t="str">
        <x:v>Ready for Commission Calculation</x:v>
      </x:c>
      <x:c r="N266" s="74" t="n">
        <x:f>IF(E266&lt;=0,0,MIN(G266,E266*0.8)*0.01+MAX(0,MIN(G266,E266)-E266*0.8)*0.02)</x:f>
        <x:v>1087.0602000000003</x:v>
      </x:c>
      <x:c r="O266" s="74" t="n">
        <x:f>IF(E266&lt;=0,0,MAX(0,MIN(G266,E266*1.1)-E266)*0.035+MAX(0,G266-E266*1.1)*0.05)</x:f>
        <x:v>0</x:v>
      </x:c>
      <x:c r="P266" s="74" t="n">
        <x:f>N266+O266</x:f>
        <x:v>1087.0602000000003</x:v>
      </x:c>
      <x:c r="Q266" s="76" t="n">
        <x:f>IF(G266&lt;=0,0,P266/G266)</x:f>
        <x:v>0.010133585325889524</x:v>
      </x:c>
    </x:row>
    <x:row r="267">
      <x:c r="A267" s="56" t="str">
        <x:v>EMP023</x:v>
      </x:c>
      <x:c r="B267" s="56" t="str">
        <x:v>Maude Lavoie</x:v>
      </x:c>
      <x:c r="C267" s="56" t="str">
        <x:v>Senior AE</x:v>
      </x:c>
      <x:c r="D267" s="56" t="str">
        <x:v>2026-02</x:v>
      </x:c>
      <x:c r="E267" s="72" t="n">
        <x:v>132300</x:v>
      </x:c>
      <x:c r="F267" s="72" t="n">
        <x:v>102778.37</x:v>
      </x:c>
      <x:c r="G267" s="72" t="n">
        <x:v>102244.85</x:v>
      </x:c>
      <x:c r="H267" s="72" t="n">
        <x:v>533.52</x:v>
      </x:c>
      <x:c r="I267" s="56" t="n">
        <x:v>0</x:v>
      </x:c>
      <x:c r="J267" s="56" t="n">
        <x:v>0</x:v>
      </x:c>
      <x:c r="K267" s="68" t="n">
        <x:f>IF(E267&lt;=0,"",G267/E267)</x:f>
        <x:v>0.7728257747543462</x:v>
      </x:c>
      <x:c r="L267" t="str">
        <x:f>IF(K267="","Not Calculated",IF(K267&lt;0.8,"Below 80%",IF(K267&lt;1,"80%-99.99%",IF(K267&lt;1.1,"100%-109.99%",IF(K267&lt;1.75,"110%-174.99%","175%+ Review")))))</x:f>
        <x:v>Below 80%</x:v>
      </x:c>
      <x:c r="M267" s="56" t="str">
        <x:v>Ready for Commission Calculation</x:v>
      </x:c>
      <x:c r="N267" s="74" t="n">
        <x:f>IF(E267&lt;=0,0,MIN(G267,E267*0.8)*0.01+MAX(0,MIN(G267,E267)-E267*0.8)*0.02)</x:f>
        <x:v>1022.4485000000001</x:v>
      </x:c>
      <x:c r="O267" s="74" t="n">
        <x:f>IF(E267&lt;=0,0,MAX(0,MIN(G267,E267*1.1)-E267)*0.035+MAX(0,G267-E267*1.1)*0.05)</x:f>
        <x:v>0</x:v>
      </x:c>
      <x:c r="P267" s="74" t="n">
        <x:f>N267+O267</x:f>
        <x:v>1022.4485000000001</x:v>
      </x:c>
      <x:c r="Q267" s="76" t="n">
        <x:f>IF(G267&lt;=0,0,P267/G267)</x:f>
        <x:v>0.01</x:v>
      </x:c>
    </x:row>
    <x:row r="268">
      <x:c r="A268" s="56" t="str">
        <x:v>EMP023</x:v>
      </x:c>
      <x:c r="B268" s="56" t="str">
        <x:v>Maude Lavoie</x:v>
      </x:c>
      <x:c r="C268" s="56" t="str">
        <x:v>Senior AE</x:v>
      </x:c>
      <x:c r="D268" s="56" t="str">
        <x:v>2026-03</x:v>
      </x:c>
      <x:c r="E268" s="72" t="n">
        <x:v>151200</x:v>
      </x:c>
      <x:c r="F268" s="72" t="n">
        <x:v>119915.69</x:v>
      </x:c>
      <x:c r="G268" s="72" t="n">
        <x:v>119449.13</x:v>
      </x:c>
      <x:c r="H268" s="72" t="n">
        <x:v>466.56</x:v>
      </x:c>
      <x:c r="I268" s="56" t="n">
        <x:v>0</x:v>
      </x:c>
      <x:c r="J268" s="56" t="n">
        <x:v>0</x:v>
      </x:c>
      <x:c r="K268" s="68" t="n">
        <x:f>IF(E268&lt;=0,"",G268/E268)</x:f>
        <x:v>0.7900074735449736</x:v>
      </x:c>
      <x:c r="L268" t="str">
        <x:f>IF(K268="","Not Calculated",IF(K268&lt;0.8,"Below 80%",IF(K268&lt;1,"80%-99.99%",IF(K268&lt;1.1,"100%-109.99%",IF(K268&lt;1.75,"110%-174.99%","175%+ Review")))))</x:f>
        <x:v>Below 80%</x:v>
      </x:c>
      <x:c r="M268" s="56" t="str">
        <x:v>Ready for Commission Calculation</x:v>
      </x:c>
      <x:c r="N268" s="74" t="n">
        <x:f>IF(E268&lt;=0,0,MIN(G268,E268*0.8)*0.01+MAX(0,MIN(G268,E268)-E268*0.8)*0.02)</x:f>
        <x:v>1194.4913000000001</x:v>
      </x:c>
      <x:c r="O268" s="74" t="n">
        <x:f>IF(E268&lt;=0,0,MAX(0,MIN(G268,E268*1.1)-E268)*0.035+MAX(0,G268-E268*1.1)*0.05)</x:f>
        <x:v>0</x:v>
      </x:c>
      <x:c r="P268" s="74" t="n">
        <x:f>N268+O268</x:f>
        <x:v>1194.4913000000001</x:v>
      </x:c>
      <x:c r="Q268" s="76" t="n">
        <x:f>IF(G268&lt;=0,0,P268/G268)</x:f>
        <x:v>0.01</x:v>
      </x:c>
    </x:row>
    <x:row r="269">
      <x:c r="A269" s="56" t="str">
        <x:v>EMP023</x:v>
      </x:c>
      <x:c r="B269" s="56" t="str">
        <x:v>Maude Lavoie</x:v>
      </x:c>
      <x:c r="C269" s="56" t="str">
        <x:v>Senior AE</x:v>
      </x:c>
      <x:c r="D269" s="56" t="str">
        <x:v>2026-04</x:v>
      </x:c>
      <x:c r="E269" s="72" t="n">
        <x:v>151200</x:v>
      </x:c>
      <x:c r="F269" s="72" t="n">
        <x:v>140716.27</x:v>
      </x:c>
      <x:c r="G269" s="72" t="n">
        <x:v>140173.87</x:v>
      </x:c>
      <x:c r="H269" s="72" t="n">
        <x:v>542.4</x:v>
      </x:c>
      <x:c r="I269" s="56" t="n">
        <x:v>0</x:v>
      </x:c>
      <x:c r="J269" s="56" t="n">
        <x:v>0</x:v>
      </x:c>
      <x:c r="K269" s="68" t="n">
        <x:f>IF(E269&lt;=0,"",G269/E269)</x:f>
        <x:v>0.9270758597883597</x:v>
      </x:c>
      <x:c r="L269" t="str">
        <x:f>IF(K269="","Not Calculated",IF(K269&lt;0.8,"Below 80%",IF(K269&lt;1,"80%-99.99%",IF(K269&lt;1.1,"100%-109.99%",IF(K269&lt;1.75,"110%-174.99%","175%+ Review")))))</x:f>
        <x:v>80%-99.99%</x:v>
      </x:c>
      <x:c r="M269" s="56" t="str">
        <x:v>Ready for Commission Calculation</x:v>
      </x:c>
      <x:c r="N269" s="74" t="n">
        <x:f>IF(E269&lt;=0,0,MIN(G269,E269*0.8)*0.01+MAX(0,MIN(G269,E269)-E269*0.8)*0.02)</x:f>
        <x:v>1593.8774</x:v>
      </x:c>
      <x:c r="O269" s="74" t="n">
        <x:f>IF(E269&lt;=0,0,MAX(0,MIN(G269,E269*1.1)-E269)*0.035+MAX(0,G269-E269*1.1)*0.05)</x:f>
        <x:v>0</x:v>
      </x:c>
      <x:c r="P269" s="74" t="n">
        <x:f>N269+O269</x:f>
        <x:v>1593.8774</x:v>
      </x:c>
      <x:c r="Q269" s="76" t="n">
        <x:f>IF(G269&lt;=0,0,P269/G269)</x:f>
        <x:v>0.011370716953166807</x:v>
      </x:c>
    </x:row>
    <x:row r="270">
      <x:c r="A270" s="56" t="str">
        <x:v>EMP023</x:v>
      </x:c>
      <x:c r="B270" s="56" t="str">
        <x:v>Maude Lavoie</x:v>
      </x:c>
      <x:c r="C270" s="56" t="str">
        <x:v>Senior AE</x:v>
      </x:c>
      <x:c r="D270" s="56" t="str">
        <x:v>2026-05</x:v>
      </x:c>
      <x:c r="E270" s="72" t="n">
        <x:v>151200</x:v>
      </x:c>
      <x:c r="F270" s="72" t="n">
        <x:v>130160.86</x:v>
      </x:c>
      <x:c r="G270" s="72" t="n">
        <x:v>126097.86</x:v>
      </x:c>
      <x:c r="H270" s="72" t="n">
        <x:v>4063</x:v>
      </x:c>
      <x:c r="I270" s="56" t="n">
        <x:v>0</x:v>
      </x:c>
      <x:c r="J270" s="56" t="n">
        <x:v>0</x:v>
      </x:c>
      <x:c r="K270" s="68" t="n">
        <x:f>IF(E270&lt;=0,"",G270/E270)</x:f>
        <x:v>0.8339805555555556</x:v>
      </x:c>
      <x:c r="L270" t="str">
        <x:f>IF(K270="","Not Calculated",IF(K270&lt;0.8,"Below 80%",IF(K270&lt;1,"80%-99.99%",IF(K270&lt;1.1,"100%-109.99%",IF(K270&lt;1.75,"110%-174.99%","175%+ Review")))))</x:f>
        <x:v>80%-99.99%</x:v>
      </x:c>
      <x:c r="M270" s="56" t="str">
        <x:v>Ready for Commission Calculation</x:v>
      </x:c>
      <x:c r="N270" s="74" t="n">
        <x:f>IF(E270&lt;=0,0,MIN(G270,E270*0.8)*0.01+MAX(0,MIN(G270,E270)-E270*0.8)*0.02)</x:f>
        <x:v>1312.3572000000001</x:v>
      </x:c>
      <x:c r="O270" s="74" t="n">
        <x:f>IF(E270&lt;=0,0,MAX(0,MIN(G270,E270*1.1)-E270)*0.035+MAX(0,G270-E270*1.1)*0.05)</x:f>
        <x:v>0</x:v>
      </x:c>
      <x:c r="P270" s="74" t="n">
        <x:f>N270+O270</x:f>
        <x:v>1312.3572000000001</x:v>
      </x:c>
      <x:c r="Q270" s="76" t="n">
        <x:f>IF(G270&lt;=0,0,P270/G270)</x:f>
        <x:v>0.010407450213667386</x:v>
      </x:c>
    </x:row>
    <x:row r="271">
      <x:c r="A271" s="56" t="str">
        <x:v>EMP023</x:v>
      </x:c>
      <x:c r="B271" s="56" t="str">
        <x:v>Maude Lavoie</x:v>
      </x:c>
      <x:c r="C271" s="56" t="str">
        <x:v>Senior AE</x:v>
      </x:c>
      <x:c r="D271" s="56" t="str">
        <x:v>2026-06</x:v>
      </x:c>
      <x:c r="E271" s="72" t="n">
        <x:v>170100</x:v>
      </x:c>
      <x:c r="F271" s="72" t="n">
        <x:v>150603.2</x:v>
      </x:c>
      <x:c r="G271" s="72" t="n">
        <x:v>150603.2</x:v>
      </x:c>
      <x:c r="H271" s="72" t="n">
        <x:v>0</x:v>
      </x:c>
      <x:c r="I271" s="56" t="n">
        <x:v>0</x:v>
      </x:c>
      <x:c r="J271" s="56" t="n">
        <x:v>0</x:v>
      </x:c>
      <x:c r="K271" s="68" t="n">
        <x:f>IF(E271&lt;=0,"",G271/E271)</x:f>
        <x:v>0.8853803644914757</x:v>
      </x:c>
      <x:c r="L271" t="str">
        <x:f>IF(K271="","Not Calculated",IF(K271&lt;0.8,"Below 80%",IF(K271&lt;1,"80%-99.99%",IF(K271&lt;1.1,"100%-109.99%",IF(K271&lt;1.75,"110%-174.99%","175%+ Review")))))</x:f>
        <x:v>80%-99.99%</x:v>
      </x:c>
      <x:c r="M271" s="56" t="str">
        <x:v>Ready for Commission Calculation</x:v>
      </x:c>
      <x:c r="N271" s="74" t="n">
        <x:f>IF(E271&lt;=0,0,MIN(G271,E271*0.8)*0.01+MAX(0,MIN(G271,E271)-E271*0.8)*0.02)</x:f>
        <x:v>1651.2640000000001</x:v>
      </x:c>
      <x:c r="O271" s="74" t="n">
        <x:f>IF(E271&lt;=0,0,MAX(0,MIN(G271,E271*1.1)-E271)*0.035+MAX(0,G271-E271*1.1)*0.05)</x:f>
        <x:v>0</x:v>
      </x:c>
      <x:c r="P271" s="74" t="n">
        <x:f>N271+O271</x:f>
        <x:v>1651.2640000000001</x:v>
      </x:c>
      <x:c r="Q271" s="76" t="n">
        <x:f>IF(G271&lt;=0,0,P271/G271)</x:f>
        <x:v>0.01096433541916772</x:v>
      </x:c>
    </x:row>
    <x:row r="272">
      <x:c r="A272" s="56" t="str">
        <x:v>EMP023</x:v>
      </x:c>
      <x:c r="B272" s="56" t="str">
        <x:v>Maude Lavoie</x:v>
      </x:c>
      <x:c r="C272" s="56" t="str">
        <x:v>Senior AE</x:v>
      </x:c>
      <x:c r="D272" s="56" t="str">
        <x:v>2026-07</x:v>
      </x:c>
      <x:c r="E272" s="72" t="n">
        <x:v>132300</x:v>
      </x:c>
      <x:c r="F272" s="72" t="n">
        <x:v>126269.89000000001</x:v>
      </x:c>
      <x:c r="G272" s="72" t="n">
        <x:v>123229.35</x:v>
      </x:c>
      <x:c r="H272" s="72" t="n">
        <x:v>3040.54</x:v>
      </x:c>
      <x:c r="I272" s="56" t="n">
        <x:v>0</x:v>
      </x:c>
      <x:c r="J272" s="56" t="n">
        <x:v>0</x:v>
      </x:c>
      <x:c r="K272" s="68" t="n">
        <x:f>IF(E272&lt;=0,"",G272/E272)</x:f>
        <x:v>0.9314387755102042</x:v>
      </x:c>
      <x:c r="L272" t="str">
        <x:f>IF(K272="","Not Calculated",IF(K272&lt;0.8,"Below 80%",IF(K272&lt;1,"80%-99.99%",IF(K272&lt;1.1,"100%-109.99%",IF(K272&lt;1.75,"110%-174.99%","175%+ Review")))))</x:f>
        <x:v>80%-99.99%</x:v>
      </x:c>
      <x:c r="M272" s="56" t="str">
        <x:v>Ready for Commission Calculation</x:v>
      </x:c>
      <x:c r="N272" s="74" t="n">
        <x:f>IF(E272&lt;=0,0,MIN(G272,E272*0.8)*0.01+MAX(0,MIN(G272,E272)-E272*0.8)*0.02)</x:f>
        <x:v>1406.1870000000004</x:v>
      </x:c>
      <x:c r="O272" s="74" t="n">
        <x:f>IF(E272&lt;=0,0,MAX(0,MIN(G272,E272*1.1)-E272)*0.035+MAX(0,G272-E272*1.1)*0.05)</x:f>
        <x:v>0</x:v>
      </x:c>
      <x:c r="P272" s="74" t="n">
        <x:f>N272+O272</x:f>
        <x:v>1406.1870000000004</x:v>
      </x:c>
      <x:c r="Q272" s="76" t="n">
        <x:f>IF(G272&lt;=0,0,P272/G272)</x:f>
        <x:v>0.011411137038376006</x:v>
      </x:c>
    </x:row>
    <x:row r="273">
      <x:c r="A273" s="56" t="str">
        <x:v>EMP023</x:v>
      </x:c>
      <x:c r="B273" s="56" t="str">
        <x:v>Maude Lavoie</x:v>
      </x:c>
      <x:c r="C273" s="56" t="str">
        <x:v>Senior AE</x:v>
      </x:c>
      <x:c r="D273" s="56" t="str">
        <x:v>2026-08</x:v>
      </x:c>
      <x:c r="E273" s="72" t="n">
        <x:v>132300</x:v>
      </x:c>
      <x:c r="F273" s="72" t="n">
        <x:v>119643.08000000002</x:v>
      </x:c>
      <x:c r="G273" s="72" t="n">
        <x:v>119010.36000000002</x:v>
      </x:c>
      <x:c r="H273" s="72" t="n">
        <x:v>632.72</x:v>
      </x:c>
      <x:c r="I273" s="56" t="n">
        <x:v>0</x:v>
      </x:c>
      <x:c r="J273" s="56" t="n">
        <x:v>0</x:v>
      </x:c>
      <x:c r="K273" s="68" t="n">
        <x:f>IF(E273&lt;=0,"",G273/E273)</x:f>
        <x:v>0.8995492063492064</x:v>
      </x:c>
      <x:c r="L273" t="str">
        <x:f>IF(K273="","Not Calculated",IF(K273&lt;0.8,"Below 80%",IF(K273&lt;1,"80%-99.99%",IF(K273&lt;1.1,"100%-109.99%",IF(K273&lt;1.75,"110%-174.99%","175%+ Review")))))</x:f>
        <x:v>80%-99.99%</x:v>
      </x:c>
      <x:c r="M273" s="56" t="str">
        <x:v>Ready for Commission Calculation</x:v>
      </x:c>
      <x:c r="N273" s="74" t="n">
        <x:f>IF(E273&lt;=0,0,MIN(G273,E273*0.8)*0.01+MAX(0,MIN(G273,E273)-E273*0.8)*0.02)</x:f>
        <x:v>1321.8072000000004</x:v>
      </x:c>
      <x:c r="O273" s="74" t="n">
        <x:f>IF(E273&lt;=0,0,MAX(0,MIN(G273,E273*1.1)-E273)*0.035+MAX(0,G273-E273*1.1)*0.05)</x:f>
        <x:v>0</x:v>
      </x:c>
      <x:c r="P273" s="74" t="n">
        <x:f>N273+O273</x:f>
        <x:v>1321.8072000000004</x:v>
      </x:c>
      <x:c r="Q273" s="76" t="n">
        <x:f>IF(G273&lt;=0,0,P273/G273)</x:f>
        <x:v>0.01110665659695509</x:v>
      </x:c>
    </x:row>
    <x:row r="274">
      <x:c r="A274" s="56" t="str">
        <x:v>EMP023</x:v>
      </x:c>
      <x:c r="B274" s="56" t="str">
        <x:v>Maude Lavoie</x:v>
      </x:c>
      <x:c r="C274" s="56" t="str">
        <x:v>Senior AE</x:v>
      </x:c>
      <x:c r="D274" s="56" t="str">
        <x:v>2026-09</x:v>
      </x:c>
      <x:c r="E274" s="72" t="n">
        <x:v>189000</x:v>
      </x:c>
      <x:c r="F274" s="72" t="n">
        <x:v>171993.31</x:v>
      </x:c>
      <x:c r="G274" s="72" t="n">
        <x:v>161660.28</x:v>
      </x:c>
      <x:c r="H274" s="72" t="n">
        <x:v>10333.029999999999</x:v>
      </x:c>
      <x:c r="I274" s="56" t="n">
        <x:v>0</x:v>
      </x:c>
      <x:c r="J274" s="56" t="n">
        <x:v>0</x:v>
      </x:c>
      <x:c r="K274" s="68" t="n">
        <x:f>IF(E274&lt;=0,"",G274/E274)</x:f>
        <x:v>0.8553453968253968</x:v>
      </x:c>
      <x:c r="L274" t="str">
        <x:f>IF(K274="","Not Calculated",IF(K274&lt;0.8,"Below 80%",IF(K274&lt;1,"80%-99.99%",IF(K274&lt;1.1,"100%-109.99%",IF(K274&lt;1.75,"110%-174.99%","175%+ Review")))))</x:f>
        <x:v>80%-99.99%</x:v>
      </x:c>
      <x:c r="M274" s="56" t="str">
        <x:v>Ready for Commission Calculation</x:v>
      </x:c>
      <x:c r="N274" s="74" t="n">
        <x:f>IF(E274&lt;=0,0,MIN(G274,E274*0.8)*0.01+MAX(0,MIN(G274,E274)-E274*0.8)*0.02)</x:f>
        <x:v>1721.2056</x:v>
      </x:c>
      <x:c r="O274" s="74" t="n">
        <x:f>IF(E274&lt;=0,0,MAX(0,MIN(G274,E274*1.1)-E274)*0.035+MAX(0,G274-E274*1.1)*0.05)</x:f>
        <x:v>0</x:v>
      </x:c>
      <x:c r="P274" s="74" t="n">
        <x:f>N274+O274</x:f>
        <x:v>1721.2056</x:v>
      </x:c>
      <x:c r="Q274" s="76" t="n">
        <x:f>IF(G274&lt;=0,0,P274/G274)</x:f>
        <x:v>0.010647053190802343</x:v>
      </x:c>
    </x:row>
    <x:row r="275">
      <x:c r="A275" s="56" t="str">
        <x:v>EMP023</x:v>
      </x:c>
      <x:c r="B275" s="56" t="str">
        <x:v>Maude Lavoie</x:v>
      </x:c>
      <x:c r="C275" s="56" t="str">
        <x:v>Senior AE</x:v>
      </x:c>
      <x:c r="D275" s="56" t="str">
        <x:v>2026-10</x:v>
      </x:c>
      <x:c r="E275" s="72" t="n">
        <x:v>189000</x:v>
      </x:c>
      <x:c r="F275" s="72" t="n">
        <x:v>153092.83000000002</x:v>
      </x:c>
      <x:c r="G275" s="72" t="n">
        <x:v>152542.43000000002</x:v>
      </x:c>
      <x:c r="H275" s="72" t="n">
        <x:v>550.4</x:v>
      </x:c>
      <x:c r="I275" s="56" t="n">
        <x:v>0</x:v>
      </x:c>
      <x:c r="J275" s="56" t="n">
        <x:v>0</x:v>
      </x:c>
      <x:c r="K275" s="68" t="n">
        <x:f>IF(E275&lt;=0,"",G275/E275)</x:f>
        <x:v>0.8071028042328043</x:v>
      </x:c>
      <x:c r="L275" t="str">
        <x:f>IF(K275="","Not Calculated",IF(K275&lt;0.8,"Below 80%",IF(K275&lt;1,"80%-99.99%",IF(K275&lt;1.1,"100%-109.99%",IF(K275&lt;1.75,"110%-174.99%","175%+ Review")))))</x:f>
        <x:v>80%-99.99%</x:v>
      </x:c>
      <x:c r="M275" s="56" t="str">
        <x:v>Ready for Commission Calculation</x:v>
      </x:c>
      <x:c r="N275" s="74" t="n">
        <x:f>IF(E275&lt;=0,0,MIN(G275,E275*0.8)*0.01+MAX(0,MIN(G275,E275)-E275*0.8)*0.02)</x:f>
        <x:v>1538.8486000000005</x:v>
      </x:c>
      <x:c r="O275" s="74" t="n">
        <x:f>IF(E275&lt;=0,0,MAX(0,MIN(G275,E275*1.1)-E275)*0.035+MAX(0,G275-E275*1.1)*0.05)</x:f>
        <x:v>0</x:v>
      </x:c>
      <x:c r="P275" s="74" t="n">
        <x:f>N275+O275</x:f>
        <x:v>1538.8486000000005</x:v>
      </x:c>
      <x:c r="Q275" s="76" t="n">
        <x:f>IF(G275&lt;=0,0,P275/G275)</x:f>
        <x:v>0.010088003711491945</x:v>
      </x:c>
    </x:row>
    <x:row r="276">
      <x:c r="A276" s="56" t="str">
        <x:v>EMP023</x:v>
      </x:c>
      <x:c r="B276" s="56" t="str">
        <x:v>Maude Lavoie</x:v>
      </x:c>
      <x:c r="C276" s="56" t="str">
        <x:v>Senior AE</x:v>
      </x:c>
      <x:c r="D276" s="56" t="str">
        <x:v>2026-11</x:v>
      </x:c>
      <x:c r="E276" s="72" t="n">
        <x:v>170100</x:v>
      </x:c>
      <x:c r="F276" s="72" t="n">
        <x:v>138273.2</x:v>
      </x:c>
      <x:c r="G276" s="72" t="n">
        <x:v>132691.63</x:v>
      </x:c>
      <x:c r="H276" s="72" t="n">
        <x:v>5581.57</x:v>
      </x:c>
      <x:c r="I276" s="56" t="n">
        <x:v>0</x:v>
      </x:c>
      <x:c r="J276" s="56" t="n">
        <x:v>0</x:v>
      </x:c>
      <x:c r="K276" s="68" t="n">
        <x:f>IF(E276&lt;=0,"",G276/E276)</x:f>
        <x:v>0.7800801293356849</x:v>
      </x:c>
      <x:c r="L276" t="str">
        <x:f>IF(K276="","Not Calculated",IF(K276&lt;0.8,"Below 80%",IF(K276&lt;1,"80%-99.99%",IF(K276&lt;1.1,"100%-109.99%",IF(K276&lt;1.75,"110%-174.99%","175%+ Review")))))</x:f>
        <x:v>Below 80%</x:v>
      </x:c>
      <x:c r="M276" s="56" t="str">
        <x:v>Ready for Commission Calculation</x:v>
      </x:c>
      <x:c r="N276" s="74" t="n">
        <x:f>IF(E276&lt;=0,0,MIN(G276,E276*0.8)*0.01+MAX(0,MIN(G276,E276)-E276*0.8)*0.02)</x:f>
        <x:v>1326.9163</x:v>
      </x:c>
      <x:c r="O276" s="74" t="n">
        <x:f>IF(E276&lt;=0,0,MAX(0,MIN(G276,E276*1.1)-E276)*0.035+MAX(0,G276-E276*1.1)*0.05)</x:f>
        <x:v>0</x:v>
      </x:c>
      <x:c r="P276" s="74" t="n">
        <x:f>N276+O276</x:f>
        <x:v>1326.9163</x:v>
      </x:c>
      <x:c r="Q276" s="76" t="n">
        <x:f>IF(G276&lt;=0,0,P276/G276)</x:f>
        <x:v>0.01</x:v>
      </x:c>
    </x:row>
    <x:row r="277">
      <x:c r="A277" s="56" t="str">
        <x:v>EMP023</x:v>
      </x:c>
      <x:c r="B277" s="56" t="str">
        <x:v>Maude Lavoie</x:v>
      </x:c>
      <x:c r="C277" s="56" t="str">
        <x:v>Senior AE</x:v>
      </x:c>
      <x:c r="D277" s="56" t="str">
        <x:v>2026-12</x:v>
      </x:c>
      <x:c r="E277" s="72" t="n">
        <x:v>189000</x:v>
      </x:c>
      <x:c r="F277" s="72" t="n">
        <x:v>144770.21</x:v>
      </x:c>
      <x:c r="G277" s="72" t="n">
        <x:v>144770.21</x:v>
      </x:c>
      <x:c r="H277" s="72" t="n">
        <x:v>0</x:v>
      </x:c>
      <x:c r="I277" s="56" t="n">
        <x:v>0</x:v>
      </x:c>
      <x:c r="J277" s="56" t="n">
        <x:v>0</x:v>
      </x:c>
      <x:c r="K277" s="68" t="n">
        <x:f>IF(E277&lt;=0,"",G277/E277)</x:f>
        <x:v>0.7659799470899471</x:v>
      </x:c>
      <x:c r="L277" t="str">
        <x:f>IF(K277="","Not Calculated",IF(K277&lt;0.8,"Below 80%",IF(K277&lt;1,"80%-99.99%",IF(K277&lt;1.1,"100%-109.99%",IF(K277&lt;1.75,"110%-174.99%","175%+ Review")))))</x:f>
        <x:v>Below 80%</x:v>
      </x:c>
      <x:c r="M277" s="56" t="str">
        <x:v>Ready for Commission Calculation</x:v>
      </x:c>
      <x:c r="N277" s="74" t="n">
        <x:f>IF(E277&lt;=0,0,MIN(G277,E277*0.8)*0.01+MAX(0,MIN(G277,E277)-E277*0.8)*0.02)</x:f>
        <x:v>1447.7021</x:v>
      </x:c>
      <x:c r="O277" s="74" t="n">
        <x:f>IF(E277&lt;=0,0,MAX(0,MIN(G277,E277*1.1)-E277)*0.035+MAX(0,G277-E277*1.1)*0.05)</x:f>
        <x:v>0</x:v>
      </x:c>
      <x:c r="P277" s="74" t="n">
        <x:f>N277+O277</x:f>
        <x:v>1447.7021</x:v>
      </x:c>
      <x:c r="Q277" s="76" t="n">
        <x:f>IF(G277&lt;=0,0,P277/G277)</x:f>
        <x:v>0.01</x:v>
      </x:c>
    </x:row>
    <x:row r="278">
      <x:c r="A278" s="56" t="str">
        <x:v>EMP024</x:v>
      </x:c>
      <x:c r="B278" s="56" t="str">
        <x:v>Xavier Dubois</x:v>
      </x:c>
      <x:c r="C278" s="56" t="str">
        <x:v>Senior AE</x:v>
      </x:c>
      <x:c r="D278" s="56" t="str">
        <x:v>2026-01</x:v>
      </x:c>
      <x:c r="E278" s="72" t="n">
        <x:v>117600.00000000001</x:v>
      </x:c>
      <x:c r="F278" s="72" t="n">
        <x:v>91799.69</x:v>
      </x:c>
      <x:c r="G278" s="72" t="n">
        <x:v>91799.69</x:v>
      </x:c>
      <x:c r="H278" s="72" t="n">
        <x:v>0</x:v>
      </x:c>
      <x:c r="I278" s="56" t="n">
        <x:v>0</x:v>
      </x:c>
      <x:c r="J278" s="56" t="n">
        <x:v>0</x:v>
      </x:c>
      <x:c r="K278" s="68" t="n">
        <x:f>IF(E278&lt;=0,"",G278/E278)</x:f>
        <x:v>0.7806096088435374</x:v>
      </x:c>
      <x:c r="L278" t="str">
        <x:f>IF(K278="","Not Calculated",IF(K278&lt;0.8,"Below 80%",IF(K278&lt;1,"80%-99.99%",IF(K278&lt;1.1,"100%-109.99%",IF(K278&lt;1.75,"110%-174.99%","175%+ Review")))))</x:f>
        <x:v>Below 80%</x:v>
      </x:c>
      <x:c r="M278" s="56" t="str">
        <x:v>Ready for Commission Calculation</x:v>
      </x:c>
      <x:c r="N278" s="74" t="n">
        <x:f>IF(E278&lt;=0,0,MIN(G278,E278*0.8)*0.01+MAX(0,MIN(G278,E278)-E278*0.8)*0.02)</x:f>
        <x:v>917.9969000000001</x:v>
      </x:c>
      <x:c r="O278" s="74" t="n">
        <x:f>IF(E278&lt;=0,0,MAX(0,MIN(G278,E278*1.1)-E278)*0.035+MAX(0,G278-E278*1.1)*0.05)</x:f>
        <x:v>0</x:v>
      </x:c>
      <x:c r="P278" s="74" t="n">
        <x:f>N278+O278</x:f>
        <x:v>917.9969000000001</x:v>
      </x:c>
      <x:c r="Q278" s="76" t="n">
        <x:f>IF(G278&lt;=0,0,P278/G278)</x:f>
        <x:v>0.01</x:v>
      </x:c>
    </x:row>
    <x:row r="279">
      <x:c r="A279" s="56" t="str">
        <x:v>EMP024</x:v>
      </x:c>
      <x:c r="B279" s="56" t="str">
        <x:v>Xavier Dubois</x:v>
      </x:c>
      <x:c r="C279" s="56" t="str">
        <x:v>Senior AE</x:v>
      </x:c>
      <x:c r="D279" s="56" t="str">
        <x:v>2026-02</x:v>
      </x:c>
      <x:c r="E279" s="72" t="n">
        <x:v>117600.00000000001</x:v>
      </x:c>
      <x:c r="F279" s="72" t="n">
        <x:v>116347.2</x:v>
      </x:c>
      <x:c r="G279" s="72" t="n">
        <x:v>116347.2</x:v>
      </x:c>
      <x:c r="H279" s="72" t="n">
        <x:v>0</x:v>
      </x:c>
      <x:c r="I279" s="56" t="n">
        <x:v>0</x:v>
      </x:c>
      <x:c r="J279" s="56" t="n">
        <x:v>0</x:v>
      </x:c>
      <x:c r="K279" s="68" t="n">
        <x:f>IF(E279&lt;=0,"",G279/E279)</x:f>
        <x:v>0.98934693877551</x:v>
      </x:c>
      <x:c r="L279" t="str">
        <x:f>IF(K279="","Not Calculated",IF(K279&lt;0.8,"Below 80%",IF(K279&lt;1,"80%-99.99%",IF(K279&lt;1.1,"100%-109.99%",IF(K279&lt;1.75,"110%-174.99%","175%+ Review")))))</x:f>
        <x:v>80%-99.99%</x:v>
      </x:c>
      <x:c r="M279" s="56" t="str">
        <x:v>Ready for Commission Calculation</x:v>
      </x:c>
      <x:c r="N279" s="74" t="n">
        <x:f>IF(E279&lt;=0,0,MIN(G279,E279*0.8)*0.01+MAX(0,MIN(G279,E279)-E279*0.8)*0.02)</x:f>
        <x:v>1386.1439999999998</x:v>
      </x:c>
      <x:c r="O279" s="74" t="n">
        <x:f>IF(E279&lt;=0,0,MAX(0,MIN(G279,E279*1.1)-E279)*0.035+MAX(0,G279-E279*1.1)*0.05)</x:f>
        <x:v>0</x:v>
      </x:c>
      <x:c r="P279" s="74" t="n">
        <x:f>N279+O279</x:f>
        <x:v>1386.1439999999998</x:v>
      </x:c>
      <x:c r="Q279" s="76" t="n">
        <x:f>IF(G279&lt;=0,0,P279/G279)</x:f>
        <x:v>0.011913857832418828</x:v>
      </x:c>
    </x:row>
    <x:row r="280">
      <x:c r="A280" s="56" t="str">
        <x:v>EMP024</x:v>
      </x:c>
      <x:c r="B280" s="56" t="str">
        <x:v>Xavier Dubois</x:v>
      </x:c>
      <x:c r="C280" s="56" t="str">
        <x:v>Senior AE</x:v>
      </x:c>
      <x:c r="D280" s="56" t="str">
        <x:v>2026-03</x:v>
      </x:c>
      <x:c r="E280" s="72" t="n">
        <x:v>134400</x:v>
      </x:c>
      <x:c r="F280" s="72" t="n">
        <x:v>121167.39</x:v>
      </x:c>
      <x:c r="G280" s="72" t="n">
        <x:v>120939.92</x:v>
      </x:c>
      <x:c r="H280" s="72" t="n">
        <x:v>227.47</x:v>
      </x:c>
      <x:c r="I280" s="56" t="n">
        <x:v>0</x:v>
      </x:c>
      <x:c r="J280" s="56" t="n">
        <x:v>0</x:v>
      </x:c>
      <x:c r="K280" s="68" t="n">
        <x:f>IF(E280&lt;=0,"",G280/E280)</x:f>
        <x:v>0.8998505952380952</x:v>
      </x:c>
      <x:c r="L280" t="str">
        <x:f>IF(K280="","Not Calculated",IF(K280&lt;0.8,"Below 80%",IF(K280&lt;1,"80%-99.99%",IF(K280&lt;1.1,"100%-109.99%",IF(K280&lt;1.75,"110%-174.99%","175%+ Review")))))</x:f>
        <x:v>80%-99.99%</x:v>
      </x:c>
      <x:c r="M280" s="56" t="str">
        <x:v>Ready for Commission Calculation</x:v>
      </x:c>
      <x:c r="N280" s="74" t="n">
        <x:f>IF(E280&lt;=0,0,MIN(G280,E280*0.8)*0.01+MAX(0,MIN(G280,E280)-E280*0.8)*0.02)</x:f>
        <x:v>1343.5984</x:v>
      </x:c>
      <x:c r="O280" s="74" t="n">
        <x:f>IF(E280&lt;=0,0,MAX(0,MIN(G280,E280*1.1)-E280)*0.035+MAX(0,G280-E280*1.1)*0.05)</x:f>
        <x:v>0</x:v>
      </x:c>
      <x:c r="P280" s="74" t="n">
        <x:f>N280+O280</x:f>
        <x:v>1343.5984</x:v>
      </x:c>
      <x:c r="Q280" s="76" t="n">
        <x:f>IF(G280&lt;=0,0,P280/G280)</x:f>
        <x:v>0.01110963526352589</x:v>
      </x:c>
    </x:row>
    <x:row r="281">
      <x:c r="A281" s="56" t="str">
        <x:v>EMP024</x:v>
      </x:c>
      <x:c r="B281" s="56" t="str">
        <x:v>Xavier Dubois</x:v>
      </x:c>
      <x:c r="C281" s="56" t="str">
        <x:v>Senior AE</x:v>
      </x:c>
      <x:c r="D281" s="56" t="str">
        <x:v>2026-04</x:v>
      </x:c>
      <x:c r="E281" s="72" t="n">
        <x:v>134400</x:v>
      </x:c>
      <x:c r="F281" s="72" t="n">
        <x:v>115147.06</x:v>
      </x:c>
      <x:c r="G281" s="72" t="n">
        <x:v>115147.06</x:v>
      </x:c>
      <x:c r="H281" s="72" t="n">
        <x:v>0</x:v>
      </x:c>
      <x:c r="I281" s="56" t="n">
        <x:v>0</x:v>
      </x:c>
      <x:c r="J281" s="56" t="n">
        <x:v>0</x:v>
      </x:c>
      <x:c r="K281" s="68" t="n">
        <x:f>IF(E281&lt;=0,"",G281/E281)</x:f>
        <x:v>0.8567489583333333</x:v>
      </x:c>
      <x:c r="L281" t="str">
        <x:f>IF(K281="","Not Calculated",IF(K281&lt;0.8,"Below 80%",IF(K281&lt;1,"80%-99.99%",IF(K281&lt;1.1,"100%-109.99%",IF(K281&lt;1.75,"110%-174.99%","175%+ Review")))))</x:f>
        <x:v>80%-99.99%</x:v>
      </x:c>
      <x:c r="M281" s="56" t="str">
        <x:v>Ready for Commission Calculation</x:v>
      </x:c>
      <x:c r="N281" s="74" t="n">
        <x:f>IF(E281&lt;=0,0,MIN(G281,E281*0.8)*0.01+MAX(0,MIN(G281,E281)-E281*0.8)*0.02)</x:f>
        <x:v>1227.7412</x:v>
      </x:c>
      <x:c r="O281" s="74" t="n">
        <x:f>IF(E281&lt;=0,0,MAX(0,MIN(G281,E281*1.1)-E281)*0.035+MAX(0,G281-E281*1.1)*0.05)</x:f>
        <x:v>0</x:v>
      </x:c>
      <x:c r="P281" s="74" t="n">
        <x:f>N281+O281</x:f>
        <x:v>1227.7412</x:v>
      </x:c>
      <x:c r="Q281" s="76" t="n">
        <x:f>IF(G281&lt;=0,0,P281/G281)</x:f>
        <x:v>0.010662375574330772</x:v>
      </x:c>
    </x:row>
    <x:row r="282">
      <x:c r="A282" s="56" t="str">
        <x:v>EMP024</x:v>
      </x:c>
      <x:c r="B282" s="56" t="str">
        <x:v>Xavier Dubois</x:v>
      </x:c>
      <x:c r="C282" s="56" t="str">
        <x:v>Senior AE</x:v>
      </x:c>
      <x:c r="D282" s="56" t="str">
        <x:v>2026-05</x:v>
      </x:c>
      <x:c r="E282" s="72" t="n">
        <x:v>134400</x:v>
      </x:c>
      <x:c r="F282" s="72" t="n">
        <x:v>131083.25</x:v>
      </x:c>
      <x:c r="G282" s="72" t="n">
        <x:v>130753.78000000001</x:v>
      </x:c>
      <x:c r="H282" s="72" t="n">
        <x:v>329.47</x:v>
      </x:c>
      <x:c r="I282" s="56" t="n">
        <x:v>0</x:v>
      </x:c>
      <x:c r="J282" s="56" t="n">
        <x:v>0</x:v>
      </x:c>
      <x:c r="K282" s="68" t="n">
        <x:f>IF(E282&lt;=0,"",G282/E282)</x:f>
        <x:v>0.972870386904762</x:v>
      </x:c>
      <x:c r="L282" t="str">
        <x:f>IF(K282="","Not Calculated",IF(K282&lt;0.8,"Below 80%",IF(K282&lt;1,"80%-99.99%",IF(K282&lt;1.1,"100%-109.99%",IF(K282&lt;1.75,"110%-174.99%","175%+ Review")))))</x:f>
        <x:v>80%-99.99%</x:v>
      </x:c>
      <x:c r="M282" s="56" t="str">
        <x:v>Ready for Commission Calculation</x:v>
      </x:c>
      <x:c r="N282" s="74" t="n">
        <x:f>IF(E282&lt;=0,0,MIN(G282,E282*0.8)*0.01+MAX(0,MIN(G282,E282)-E282*0.8)*0.02)</x:f>
        <x:v>1539.8756000000003</x:v>
      </x:c>
      <x:c r="O282" s="74" t="n">
        <x:f>IF(E282&lt;=0,0,MAX(0,MIN(G282,E282*1.1)-E282)*0.035+MAX(0,G282-E282*1.1)*0.05)</x:f>
        <x:v>0</x:v>
      </x:c>
      <x:c r="P282" s="74" t="n">
        <x:f>N282+O282</x:f>
        <x:v>1539.8756000000003</x:v>
      </x:c>
      <x:c r="Q282" s="76" t="n">
        <x:f>IF(G282&lt;=0,0,P282/G282)</x:f>
        <x:v>0.011776910770763187</x:v>
      </x:c>
    </x:row>
    <x:row r="283">
      <x:c r="A283" s="56" t="str">
        <x:v>EMP024</x:v>
      </x:c>
      <x:c r="B283" s="56" t="str">
        <x:v>Xavier Dubois</x:v>
      </x:c>
      <x:c r="C283" s="56" t="str">
        <x:v>Senior AE</x:v>
      </x:c>
      <x:c r="D283" s="56" t="str">
        <x:v>2026-06</x:v>
      </x:c>
      <x:c r="E283" s="72" t="n">
        <x:v>151200</x:v>
      </x:c>
      <x:c r="F283" s="72" t="n">
        <x:v>155851.16999999998</x:v>
      </x:c>
      <x:c r="G283" s="72" t="n">
        <x:v>155851.16999999998</x:v>
      </x:c>
      <x:c r="H283" s="72" t="n">
        <x:v>0</x:v>
      </x:c>
      <x:c r="I283" s="56" t="n">
        <x:v>0</x:v>
      </x:c>
      <x:c r="J283" s="56" t="n">
        <x:v>0</x:v>
      </x:c>
      <x:c r="K283" s="68" t="n">
        <x:f>IF(E283&lt;=0,"",G283/E283)</x:f>
        <x:v>1.0307617063492063</x:v>
      </x:c>
      <x:c r="L283" t="str">
        <x:f>IF(K283="","Not Calculated",IF(K283&lt;0.8,"Below 80%",IF(K283&lt;1,"80%-99.99%",IF(K283&lt;1.1,"100%-109.99%",IF(K283&lt;1.75,"110%-174.99%","175%+ Review")))))</x:f>
        <x:v>100%-109.99%</x:v>
      </x:c>
      <x:c r="M283" s="56" t="str">
        <x:v>Ready for Commission Calculation</x:v>
      </x:c>
      <x:c r="N283" s="74" t="n">
        <x:f>IF(E283&lt;=0,0,MIN(G283,E283*0.8)*0.01+MAX(0,MIN(G283,E283)-E283*0.8)*0.02)</x:f>
        <x:v>1814.4</x:v>
      </x:c>
      <x:c r="O283" s="74" t="n">
        <x:f>IF(E283&lt;=0,0,MAX(0,MIN(G283,E283*1.1)-E283)*0.035+MAX(0,G283-E283*1.1)*0.05)</x:f>
        <x:v>162.79094999999944</x:v>
      </x:c>
      <x:c r="P283" s="74" t="n">
        <x:f>N283+O283</x:f>
        <x:v>1977.1909499999995</x:v>
      </x:c>
      <x:c r="Q283" s="76" t="n">
        <x:f>IF(G283&lt;=0,0,P283/G283)</x:f>
        <x:v>0.012686404279159404</x:v>
      </x:c>
    </x:row>
    <x:row r="284">
      <x:c r="A284" s="56" t="str">
        <x:v>EMP024</x:v>
      </x:c>
      <x:c r="B284" s="56" t="str">
        <x:v>Xavier Dubois</x:v>
      </x:c>
      <x:c r="C284" s="56" t="str">
        <x:v>Senior AE</x:v>
      </x:c>
      <x:c r="D284" s="56" t="str">
        <x:v>2026-07</x:v>
      </x:c>
      <x:c r="E284" s="72" t="n">
        <x:v>117600.00000000001</x:v>
      </x:c>
      <x:c r="F284" s="72" t="n">
        <x:v>107689.49</x:v>
      </x:c>
      <x:c r="G284" s="72" t="n">
        <x:v>106519.14</x:v>
      </x:c>
      <x:c r="H284" s="72" t="n">
        <x:v>1170.35</x:v>
      </x:c>
      <x:c r="I284" s="56" t="n">
        <x:v>0</x:v>
      </x:c>
      <x:c r="J284" s="56" t="n">
        <x:v>0</x:v>
      </x:c>
      <x:c r="K284" s="68" t="n">
        <x:f>IF(E284&lt;=0,"",G284/E284)</x:f>
        <x:v>0.9057749999999999</x:v>
      </x:c>
      <x:c r="L284" t="str">
        <x:f>IF(K284="","Not Calculated",IF(K284&lt;0.8,"Below 80%",IF(K284&lt;1,"80%-99.99%",IF(K284&lt;1.1,"100%-109.99%",IF(K284&lt;1.75,"110%-174.99%","175%+ Review")))))</x:f>
        <x:v>80%-99.99%</x:v>
      </x:c>
      <x:c r="M284" s="56" t="str">
        <x:v>Ready for Commission Calculation</x:v>
      </x:c>
      <x:c r="N284" s="74" t="n">
        <x:f>IF(E284&lt;=0,0,MIN(G284,E284*0.8)*0.01+MAX(0,MIN(G284,E284)-E284*0.8)*0.02)</x:f>
        <x:v>1189.5828</x:v>
      </x:c>
      <x:c r="O284" s="74" t="n">
        <x:f>IF(E284&lt;=0,0,MAX(0,MIN(G284,E284*1.1)-E284)*0.035+MAX(0,G284-E284*1.1)*0.05)</x:f>
        <x:v>0</x:v>
      </x:c>
      <x:c r="P284" s="74" t="n">
        <x:f>N284+O284</x:f>
        <x:v>1189.5828</x:v>
      </x:c>
      <x:c r="Q284" s="76" t="n">
        <x:f>IF(G284&lt;=0,0,P284/G284)</x:f>
        <x:v>0.011167784493941652</x:v>
      </x:c>
    </x:row>
    <x:row r="285">
      <x:c r="A285" s="56" t="str">
        <x:v>EMP024</x:v>
      </x:c>
      <x:c r="B285" s="56" t="str">
        <x:v>Xavier Dubois</x:v>
      </x:c>
      <x:c r="C285" s="56" t="str">
        <x:v>Senior AE</x:v>
      </x:c>
      <x:c r="D285" s="56" t="str">
        <x:v>2026-08</x:v>
      </x:c>
      <x:c r="E285" s="72" t="n">
        <x:v>117600.00000000001</x:v>
      </x:c>
      <x:c r="F285" s="72" t="n">
        <x:v>116165.68</x:v>
      </x:c>
      <x:c r="G285" s="72" t="n">
        <x:v>115609.87999999999</x:v>
      </x:c>
      <x:c r="H285" s="72" t="n">
        <x:v>555.8</x:v>
      </x:c>
      <x:c r="I285" s="56" t="n">
        <x:v>0</x:v>
      </x:c>
      <x:c r="J285" s="56" t="n">
        <x:v>0</x:v>
      </x:c>
      <x:c r="K285" s="68" t="n">
        <x:f>IF(E285&lt;=0,"",G285/E285)</x:f>
        <x:v>0.9830772108843535</x:v>
      </x:c>
      <x:c r="L285" t="str">
        <x:f>IF(K285="","Not Calculated",IF(K285&lt;0.8,"Below 80%",IF(K285&lt;1,"80%-99.99%",IF(K285&lt;1.1,"100%-109.99%",IF(K285&lt;1.75,"110%-174.99%","175%+ Review")))))</x:f>
        <x:v>80%-99.99%</x:v>
      </x:c>
      <x:c r="M285" s="56" t="str">
        <x:v>Ready for Commission Calculation</x:v>
      </x:c>
      <x:c r="N285" s="74" t="n">
        <x:f>IF(E285&lt;=0,0,MIN(G285,E285*0.8)*0.01+MAX(0,MIN(G285,E285)-E285*0.8)*0.02)</x:f>
        <x:v>1371.3975999999998</x:v>
      </x:c>
      <x:c r="O285" s="74" t="n">
        <x:f>IF(E285&lt;=0,0,MAX(0,MIN(G285,E285*1.1)-E285)*0.035+MAX(0,G285-E285*1.1)*0.05)</x:f>
        <x:v>0</x:v>
      </x:c>
      <x:c r="P285" s="74" t="n">
        <x:f>N285+O285</x:f>
        <x:v>1371.3975999999998</x:v>
      </x:c>
      <x:c r="Q285" s="76" t="n">
        <x:f>IF(G285&lt;=0,0,P285/G285)</x:f>
        <x:v>0.01186228720244325</x:v>
      </x:c>
    </x:row>
    <x:row r="286">
      <x:c r="A286" s="56" t="str">
        <x:v>EMP024</x:v>
      </x:c>
      <x:c r="B286" s="56" t="str">
        <x:v>Xavier Dubois</x:v>
      </x:c>
      <x:c r="C286" s="56" t="str">
        <x:v>Senior AE</x:v>
      </x:c>
      <x:c r="D286" s="56" t="str">
        <x:v>2026-09</x:v>
      </x:c>
      <x:c r="E286" s="72" t="n">
        <x:v>168000</x:v>
      </x:c>
      <x:c r="F286" s="72" t="n">
        <x:v>163575.61000000002</x:v>
      </x:c>
      <x:c r="G286" s="72" t="n">
        <x:v>163128.62</x:v>
      </x:c>
      <x:c r="H286" s="72" t="n">
        <x:v>446.99</x:v>
      </x:c>
      <x:c r="I286" s="56" t="n">
        <x:v>0</x:v>
      </x:c>
      <x:c r="J286" s="56" t="n">
        <x:v>0</x:v>
      </x:c>
      <x:c r="K286" s="68" t="n">
        <x:f>IF(E286&lt;=0,"",G286/E286)</x:f>
        <x:v>0.9710036904761904</x:v>
      </x:c>
      <x:c r="L286" t="str">
        <x:f>IF(K286="","Not Calculated",IF(K286&lt;0.8,"Below 80%",IF(K286&lt;1,"80%-99.99%",IF(K286&lt;1.1,"100%-109.99%",IF(K286&lt;1.75,"110%-174.99%","175%+ Review")))))</x:f>
        <x:v>80%-99.99%</x:v>
      </x:c>
      <x:c r="M286" s="56" t="str">
        <x:v>Ready for Commission Calculation</x:v>
      </x:c>
      <x:c r="N286" s="74" t="n">
        <x:f>IF(E286&lt;=0,0,MIN(G286,E286*0.8)*0.01+MAX(0,MIN(G286,E286)-E286*0.8)*0.02)</x:f>
        <x:v>1918.5724</x:v>
      </x:c>
      <x:c r="O286" s="74" t="n">
        <x:f>IF(E286&lt;=0,0,MAX(0,MIN(G286,E286*1.1)-E286)*0.035+MAX(0,G286-E286*1.1)*0.05)</x:f>
        <x:v>0</x:v>
      </x:c>
      <x:c r="P286" s="74" t="n">
        <x:f>N286+O286</x:f>
        <x:v>1918.5724</x:v>
      </x:c>
      <x:c r="Q286" s="76" t="n">
        <x:f>IF(G286&lt;=0,0,P286/G286)</x:f>
        <x:v>0.01176110237431053</x:v>
      </x:c>
    </x:row>
    <x:row r="287">
      <x:c r="A287" s="56" t="str">
        <x:v>EMP024</x:v>
      </x:c>
      <x:c r="B287" s="56" t="str">
        <x:v>Xavier Dubois</x:v>
      </x:c>
      <x:c r="C287" s="56" t="str">
        <x:v>Senior AE</x:v>
      </x:c>
      <x:c r="D287" s="56" t="str">
        <x:v>2026-10</x:v>
      </x:c>
      <x:c r="E287" s="72" t="n">
        <x:v>168000</x:v>
      </x:c>
      <x:c r="F287" s="72" t="n">
        <x:v>147174.37</x:v>
      </x:c>
      <x:c r="G287" s="72" t="n">
        <x:v>146325.43</x:v>
      </x:c>
      <x:c r="H287" s="72" t="n">
        <x:v>848.94</x:v>
      </x:c>
      <x:c r="I287" s="56" t="n">
        <x:v>0</x:v>
      </x:c>
      <x:c r="J287" s="56" t="n">
        <x:v>0</x:v>
      </x:c>
      <x:c r="K287" s="68" t="n">
        <x:f>IF(E287&lt;=0,"",G287/E287)</x:f>
        <x:v>0.8709847023809524</x:v>
      </x:c>
      <x:c r="L287" t="str">
        <x:f>IF(K287="","Not Calculated",IF(K287&lt;0.8,"Below 80%",IF(K287&lt;1,"80%-99.99%",IF(K287&lt;1.1,"100%-109.99%",IF(K287&lt;1.75,"110%-174.99%","175%+ Review")))))</x:f>
        <x:v>80%-99.99%</x:v>
      </x:c>
      <x:c r="M287" s="56" t="str">
        <x:v>Ready for Commission Calculation</x:v>
      </x:c>
      <x:c r="N287" s="74" t="n">
        <x:f>IF(E287&lt;=0,0,MIN(G287,E287*0.8)*0.01+MAX(0,MIN(G287,E287)-E287*0.8)*0.02)</x:f>
        <x:v>1582.5086</x:v>
      </x:c>
      <x:c r="O287" s="74" t="n">
        <x:f>IF(E287&lt;=0,0,MAX(0,MIN(G287,E287*1.1)-E287)*0.035+MAX(0,G287-E287*1.1)*0.05)</x:f>
        <x:v>0</x:v>
      </x:c>
      <x:c r="P287" s="74" t="n">
        <x:f>N287+O287</x:f>
        <x:v>1582.5086</x:v>
      </x:c>
      <x:c r="Q287" s="76" t="n">
        <x:f>IF(G287&lt;=0,0,P287/G287)</x:f>
        <x:v>0.010814993675398732</x:v>
      </x:c>
    </x:row>
    <x:row r="288">
      <x:c r="A288" s="56" t="str">
        <x:v>EMP024</x:v>
      </x:c>
      <x:c r="B288" s="56" t="str">
        <x:v>Xavier Dubois</x:v>
      </x:c>
      <x:c r="C288" s="56" t="str">
        <x:v>Senior AE</x:v>
      </x:c>
      <x:c r="D288" s="56" t="str">
        <x:v>2026-11</x:v>
      </x:c>
      <x:c r="E288" s="72" t="n">
        <x:v>151200</x:v>
      </x:c>
      <x:c r="F288" s="72" t="n">
        <x:v>162844.66000000003</x:v>
      </x:c>
      <x:c r="G288" s="72" t="n">
        <x:v>162768.95000000004</x:v>
      </x:c>
      <x:c r="H288" s="72" t="n">
        <x:v>75.71</x:v>
      </x:c>
      <x:c r="I288" s="56" t="n">
        <x:v>0</x:v>
      </x:c>
      <x:c r="J288" s="56" t="n">
        <x:v>0</x:v>
      </x:c>
      <x:c r="K288" s="68" t="n">
        <x:f>IF(E288&lt;=0,"",G288/E288)</x:f>
        <x:v>1.0765142195767199</x:v>
      </x:c>
      <x:c r="L288" t="str">
        <x:f>IF(K288="","Not Calculated",IF(K288&lt;0.8,"Below 80%",IF(K288&lt;1,"80%-99.99%",IF(K288&lt;1.1,"100%-109.99%",IF(K288&lt;1.75,"110%-174.99%","175%+ Review")))))</x:f>
        <x:v>100%-109.99%</x:v>
      </x:c>
      <x:c r="M288" s="56" t="str">
        <x:v>Ready for Commission Calculation</x:v>
      </x:c>
      <x:c r="N288" s="74" t="n">
        <x:f>IF(E288&lt;=0,0,MIN(G288,E288*0.8)*0.01+MAX(0,MIN(G288,E288)-E288*0.8)*0.02)</x:f>
        <x:v>1814.4</x:v>
      </x:c>
      <x:c r="O288" s="74" t="n">
        <x:f>IF(E288&lt;=0,0,MAX(0,MIN(G288,E288*1.1)-E288)*0.035+MAX(0,G288-E288*1.1)*0.05)</x:f>
        <x:v>404.9132500000015</x:v>
      </x:c>
      <x:c r="P288" s="74" t="n">
        <x:f>N288+O288</x:f>
        <x:v>2219.3132500000015</x:v>
      </x:c>
      <x:c r="Q288" s="76" t="n">
        <x:f>IF(G288&lt;=0,0,P288/G288)</x:f>
        <x:v>0.013634745754641785</x:v>
      </x:c>
    </x:row>
    <x:row r="289">
      <x:c r="A289" s="56" t="str">
        <x:v>EMP024</x:v>
      </x:c>
      <x:c r="B289" s="56" t="str">
        <x:v>Xavier Dubois</x:v>
      </x:c>
      <x:c r="C289" s="56" t="str">
        <x:v>Senior AE</x:v>
      </x:c>
      <x:c r="D289" s="56" t="str">
        <x:v>2026-12</x:v>
      </x:c>
      <x:c r="E289" s="72" t="n">
        <x:v>168000</x:v>
      </x:c>
      <x:c r="F289" s="72" t="n">
        <x:v>172936.05</x:v>
      </x:c>
      <x:c r="G289" s="72" t="n">
        <x:v>172936.05</x:v>
      </x:c>
      <x:c r="H289" s="72" t="n">
        <x:v>0</x:v>
      </x:c>
      <x:c r="I289" s="56" t="n">
        <x:v>0</x:v>
      </x:c>
      <x:c r="J289" s="56" t="n">
        <x:v>0</x:v>
      </x:c>
      <x:c r="K289" s="68" t="n">
        <x:f>IF(E289&lt;=0,"",G289/E289)</x:f>
        <x:v>1.02938125</x:v>
      </x:c>
      <x:c r="L289" t="str">
        <x:f>IF(K289="","Not Calculated",IF(K289&lt;0.8,"Below 80%",IF(K289&lt;1,"80%-99.99%",IF(K289&lt;1.1,"100%-109.99%",IF(K289&lt;1.75,"110%-174.99%","175%+ Review")))))</x:f>
        <x:v>100%-109.99%</x:v>
      </x:c>
      <x:c r="M289" s="56" t="str">
        <x:v>Ready for Commission Calculation</x:v>
      </x:c>
      <x:c r="N289" s="74" t="n">
        <x:f>IF(E289&lt;=0,0,MIN(G289,E289*0.8)*0.01+MAX(0,MIN(G289,E289)-E289*0.8)*0.02)</x:f>
        <x:v>2016</x:v>
      </x:c>
      <x:c r="O289" s="74" t="n">
        <x:f>IF(E289&lt;=0,0,MAX(0,MIN(G289,E289*1.1)-E289)*0.035+MAX(0,G289-E289*1.1)*0.05)</x:f>
        <x:v>172.7617499999996</x:v>
      </x:c>
      <x:c r="P289" s="74" t="n">
        <x:f>N289+O289</x:f>
        <x:v>2188.7617499999997</x:v>
      </x:c>
      <x:c r="Q289" s="76" t="n">
        <x:f>IF(G289&lt;=0,0,P289/G289)</x:f>
        <x:v>0.012656480531387179</x:v>
      </x:c>
    </x:row>
    <x:row r="290">
      <x:c r="A290" s="56" t="str">
        <x:v>EMP025</x:v>
      </x:c>
      <x:c r="B290" s="56" t="str">
        <x:v>Arjun Mehta</x:v>
      </x:c>
      <x:c r="C290" s="56" t="str">
        <x:v>AE I</x:v>
      </x:c>
      <x:c r="D290" s="56" t="str">
        <x:v>2026-01</x:v>
      </x:c>
      <x:c r="E290" s="72" t="n">
        <x:v>73500</x:v>
      </x:c>
      <x:c r="F290" s="72" t="n">
        <x:v>74675.44</x:v>
      </x:c>
      <x:c r="G290" s="72" t="n">
        <x:v>74081.56999999999</x:v>
      </x:c>
      <x:c r="H290" s="72" t="n">
        <x:v>593.87</x:v>
      </x:c>
      <x:c r="I290" s="56" t="n">
        <x:v>0</x:v>
      </x:c>
      <x:c r="J290" s="56" t="n">
        <x:v>0</x:v>
      </x:c>
      <x:c r="K290" s="68" t="n">
        <x:f>IF(E290&lt;=0,"",G290/E290)</x:f>
        <x:v>1.0079125170068026</x:v>
      </x:c>
      <x:c r="L290" t="str">
        <x:f>IF(K290="","Not Calculated",IF(K290&lt;0.8,"Below 80%",IF(K290&lt;1,"80%-99.99%",IF(K290&lt;1.1,"100%-109.99%",IF(K290&lt;1.75,"110%-174.99%","175%+ Review")))))</x:f>
        <x:v>100%-109.99%</x:v>
      </x:c>
      <x:c r="M290" s="56" t="str">
        <x:v>Ready for Commission Calculation</x:v>
      </x:c>
      <x:c r="N290" s="74" t="n">
        <x:f>IF(E290&lt;=0,0,MIN(G290,E290*0.8)*0.01+MAX(0,MIN(G290,E290)-E290*0.8)*0.02)</x:f>
        <x:v>882</x:v>
      </x:c>
      <x:c r="O290" s="74" t="n">
        <x:f>IF(E290&lt;=0,0,MAX(0,MIN(G290,E290*1.1)-E290)*0.035+MAX(0,G290-E290*1.1)*0.05)</x:f>
        <x:v>20.354949999999736</x:v>
      </x:c>
      <x:c r="P290" s="74" t="n">
        <x:f>N290+O290</x:f>
        <x:v>902.3549499999997</x:v>
      </x:c>
      <x:c r="Q290" s="76" t="n">
        <x:f>IF(G290&lt;=0,0,P290/G290)</x:f>
        <x:v>0.012180559213310406</x:v>
      </x:c>
    </x:row>
    <x:row r="291">
      <x:c r="A291" s="56" t="str">
        <x:v>EMP025</x:v>
      </x:c>
      <x:c r="B291" s="56" t="str">
        <x:v>Arjun Mehta</x:v>
      </x:c>
      <x:c r="C291" s="56" t="str">
        <x:v>AE I</x:v>
      </x:c>
      <x:c r="D291" s="56" t="str">
        <x:v>2026-02</x:v>
      </x:c>
      <x:c r="E291" s="72" t="n">
        <x:v>73500</x:v>
      </x:c>
      <x:c r="F291" s="72" t="n">
        <x:v>72019.92</x:v>
      </x:c>
      <x:c r="G291" s="72" t="n">
        <x:v>71647.64</x:v>
      </x:c>
      <x:c r="H291" s="72" t="n">
        <x:v>372.28</x:v>
      </x:c>
      <x:c r="I291" s="56" t="n">
        <x:v>0</x:v>
      </x:c>
      <x:c r="J291" s="56" t="n">
        <x:v>0</x:v>
      </x:c>
      <x:c r="K291" s="68" t="n">
        <x:f>IF(E291&lt;=0,"",G291/E291)</x:f>
        <x:v>0.9747978231292517</x:v>
      </x:c>
      <x:c r="L291" t="str">
        <x:f>IF(K291="","Not Calculated",IF(K291&lt;0.8,"Below 80%",IF(K291&lt;1,"80%-99.99%",IF(K291&lt;1.1,"100%-109.99%",IF(K291&lt;1.75,"110%-174.99%","175%+ Review")))))</x:f>
        <x:v>80%-99.99%</x:v>
      </x:c>
      <x:c r="M291" s="56" t="str">
        <x:v>Ready for Commission Calculation</x:v>
      </x:c>
      <x:c r="N291" s="74" t="n">
        <x:f>IF(E291&lt;=0,0,MIN(G291,E291*0.8)*0.01+MAX(0,MIN(G291,E291)-E291*0.8)*0.02)</x:f>
        <x:v>844.9528</x:v>
      </x:c>
      <x:c r="O291" s="74" t="n">
        <x:f>IF(E291&lt;=0,0,MAX(0,MIN(G291,E291*1.1)-E291)*0.035+MAX(0,G291-E291*1.1)*0.05)</x:f>
        <x:v>0</x:v>
      </x:c>
      <x:c r="P291" s="74" t="n">
        <x:f>N291+O291</x:f>
        <x:v>844.9528</x:v>
      </x:c>
      <x:c r="Q291" s="76" t="n">
        <x:f>IF(G291&lt;=0,0,P291/G291)</x:f>
        <x:v>0.011793170019277677</x:v>
      </x:c>
    </x:row>
    <x:row r="292">
      <x:c r="A292" s="56" t="str">
        <x:v>EMP025</x:v>
      </x:c>
      <x:c r="B292" s="56" t="str">
        <x:v>Arjun Mehta</x:v>
      </x:c>
      <x:c r="C292" s="56" t="str">
        <x:v>AE I</x:v>
      </x:c>
      <x:c r="D292" s="56" t="str">
        <x:v>2026-03</x:v>
      </x:c>
      <x:c r="E292" s="72" t="n">
        <x:v>84000</x:v>
      </x:c>
      <x:c r="F292" s="72" t="n">
        <x:v>89119.93</x:v>
      </x:c>
      <x:c r="G292" s="72" t="n">
        <x:v>89119.93</x:v>
      </x:c>
      <x:c r="H292" s="72" t="n">
        <x:v>0</x:v>
      </x:c>
      <x:c r="I292" s="56" t="n">
        <x:v>0</x:v>
      </x:c>
      <x:c r="J292" s="56" t="n">
        <x:v>0</x:v>
      </x:c>
      <x:c r="K292" s="68" t="n">
        <x:f>IF(E292&lt;=0,"",G292/E292)</x:f>
        <x:v>1.0609515476190476</x:v>
      </x:c>
      <x:c r="L292" t="str">
        <x:f>IF(K292="","Not Calculated",IF(K292&lt;0.8,"Below 80%",IF(K292&lt;1,"80%-99.99%",IF(K292&lt;1.1,"100%-109.99%",IF(K292&lt;1.75,"110%-174.99%","175%+ Review")))))</x:f>
        <x:v>100%-109.99%</x:v>
      </x:c>
      <x:c r="M292" s="56" t="str">
        <x:v>Ready for Commission Calculation</x:v>
      </x:c>
      <x:c r="N292" s="74" t="n">
        <x:f>IF(E292&lt;=0,0,MIN(G292,E292*0.8)*0.01+MAX(0,MIN(G292,E292)-E292*0.8)*0.02)</x:f>
        <x:v>1008</x:v>
      </x:c>
      <x:c r="O292" s="74" t="n">
        <x:f>IF(E292&lt;=0,0,MAX(0,MIN(G292,E292*1.1)-E292)*0.035+MAX(0,G292-E292*1.1)*0.05)</x:f>
        <x:v>179.19754999999978</x:v>
      </x:c>
      <x:c r="P292" s="74" t="n">
        <x:f>N292+O292</x:f>
        <x:v>1187.1975499999999</x:v>
      </x:c>
      <x:c r="Q292" s="76" t="n">
        <x:f>IF(G292&lt;=0,0,P292/G292)</x:f>
        <x:v>0.013321347424756729</x:v>
      </x:c>
    </x:row>
    <x:row r="293">
      <x:c r="A293" s="56" t="str">
        <x:v>EMP025</x:v>
      </x:c>
      <x:c r="B293" s="56" t="str">
        <x:v>Arjun Mehta</x:v>
      </x:c>
      <x:c r="C293" s="56" t="str">
        <x:v>AE I</x:v>
      </x:c>
      <x:c r="D293" s="56" t="str">
        <x:v>2026-04</x:v>
      </x:c>
      <x:c r="E293" s="72" t="n">
        <x:v>84000</x:v>
      </x:c>
      <x:c r="F293" s="72" t="n">
        <x:v>85489.50999999998</x:v>
      </x:c>
      <x:c r="G293" s="72" t="n">
        <x:v>85143.10999999999</x:v>
      </x:c>
      <x:c r="H293" s="72" t="n">
        <x:v>346.4</x:v>
      </x:c>
      <x:c r="I293" s="56" t="n">
        <x:v>0</x:v>
      </x:c>
      <x:c r="J293" s="56" t="n">
        <x:v>0</x:v>
      </x:c>
      <x:c r="K293" s="68" t="n">
        <x:f>IF(E293&lt;=0,"",G293/E293)</x:f>
        <x:v>1.0136084523809523</x:v>
      </x:c>
      <x:c r="L293" t="str">
        <x:f>IF(K293="","Not Calculated",IF(K293&lt;0.8,"Below 80%",IF(K293&lt;1,"80%-99.99%",IF(K293&lt;1.1,"100%-109.99%",IF(K293&lt;1.75,"110%-174.99%","175%+ Review")))))</x:f>
        <x:v>100%-109.99%</x:v>
      </x:c>
      <x:c r="M293" s="56" t="str">
        <x:v>Ready for Commission Calculation</x:v>
      </x:c>
      <x:c r="N293" s="74" t="n">
        <x:f>IF(E293&lt;=0,0,MIN(G293,E293*0.8)*0.01+MAX(0,MIN(G293,E293)-E293*0.8)*0.02)</x:f>
        <x:v>1008</x:v>
      </x:c>
      <x:c r="O293" s="74" t="n">
        <x:f>IF(E293&lt;=0,0,MAX(0,MIN(G293,E293*1.1)-E293)*0.035+MAX(0,G293-E293*1.1)*0.05)</x:f>
        <x:v>40.00884999999951</x:v>
      </x:c>
      <x:c r="P293" s="74" t="n">
        <x:f>N293+O293</x:f>
        <x:v>1048.0088499999995</x:v>
      </x:c>
      <x:c r="Q293" s="76" t="n">
        <x:f>IF(G293&lt;=0,0,P293/G293)</x:f>
        <x:v>0.012308792220533167</x:v>
      </x:c>
    </x:row>
    <x:row r="294">
      <x:c r="A294" s="56" t="str">
        <x:v>EMP025</x:v>
      </x:c>
      <x:c r="B294" s="56" t="str">
        <x:v>Arjun Mehta</x:v>
      </x:c>
      <x:c r="C294" s="56" t="str">
        <x:v>AE I</x:v>
      </x:c>
      <x:c r="D294" s="56" t="str">
        <x:v>2026-05</x:v>
      </x:c>
      <x:c r="E294" s="72" t="n">
        <x:v>84000</x:v>
      </x:c>
      <x:c r="F294" s="72" t="n">
        <x:v>93257.54999999999</x:v>
      </x:c>
      <x:c r="G294" s="72" t="n">
        <x:v>93257.54999999999</x:v>
      </x:c>
      <x:c r="H294" s="72" t="n">
        <x:v>0</x:v>
      </x:c>
      <x:c r="I294" s="56" t="n">
        <x:v>0</x:v>
      </x:c>
      <x:c r="J294" s="56" t="n">
        <x:v>0</x:v>
      </x:c>
      <x:c r="K294" s="68" t="n">
        <x:f>IF(E294&lt;=0,"",G294/E294)</x:f>
        <x:v>1.1102089285714285</x:v>
      </x:c>
      <x:c r="L294" t="str">
        <x:f>IF(K294="","Not Calculated",IF(K294&lt;0.8,"Below 80%",IF(K294&lt;1,"80%-99.99%",IF(K294&lt;1.1,"100%-109.99%",IF(K294&lt;1.75,"110%-174.99%","175%+ Review")))))</x:f>
        <x:v>110%-174.99%</x:v>
      </x:c>
      <x:c r="M294" s="56" t="str">
        <x:v>Ready for Commission Calculation</x:v>
      </x:c>
      <x:c r="N294" s="74" t="n">
        <x:f>IF(E294&lt;=0,0,MIN(G294,E294*0.8)*0.01+MAX(0,MIN(G294,E294)-E294*0.8)*0.02)</x:f>
        <x:v>1008</x:v>
      </x:c>
      <x:c r="O294" s="74" t="n">
        <x:f>IF(E294&lt;=0,0,MAX(0,MIN(G294,E294*1.1)-E294)*0.035+MAX(0,G294-E294*1.1)*0.05)</x:f>
        <x:v>336.8774999999992</x:v>
      </x:c>
      <x:c r="P294" s="74" t="n">
        <x:f>N294+O294</x:f>
        <x:v>1344.8774999999991</x:v>
      </x:c>
      <x:c r="Q294" s="76" t="n">
        <x:f>IF(G294&lt;=0,0,P294/G294)</x:f>
        <x:v>0.014421111212979532</x:v>
      </x:c>
    </x:row>
    <x:row r="295">
      <x:c r="A295" s="56" t="str">
        <x:v>EMP025</x:v>
      </x:c>
      <x:c r="B295" s="56" t="str">
        <x:v>Arjun Mehta</x:v>
      </x:c>
      <x:c r="C295" s="56" t="str">
        <x:v>AE I</x:v>
      </x:c>
      <x:c r="D295" s="56" t="str">
        <x:v>2026-06</x:v>
      </x:c>
      <x:c r="E295" s="72" t="n">
        <x:v>94500</x:v>
      </x:c>
      <x:c r="F295" s="72" t="n">
        <x:v>96443.7</x:v>
      </x:c>
      <x:c r="G295" s="72" t="n">
        <x:v>95064.11</x:v>
      </x:c>
      <x:c r="H295" s="72" t="n">
        <x:v>1379.5900000000001</x:v>
      </x:c>
      <x:c r="I295" s="56" t="n">
        <x:v>0</x:v>
      </x:c>
      <x:c r="J295" s="56" t="n">
        <x:v>0</x:v>
      </x:c>
      <x:c r="K295" s="68" t="n">
        <x:f>IF(E295&lt;=0,"",G295/E295)</x:f>
        <x:v>1.005969417989418</x:v>
      </x:c>
      <x:c r="L295" t="str">
        <x:f>IF(K295="","Not Calculated",IF(K295&lt;0.8,"Below 80%",IF(K295&lt;1,"80%-99.99%",IF(K295&lt;1.1,"100%-109.99%",IF(K295&lt;1.75,"110%-174.99%","175%+ Review")))))</x:f>
        <x:v>100%-109.99%</x:v>
      </x:c>
      <x:c r="M295" s="56" t="str">
        <x:v>Ready for Commission Calculation</x:v>
      </x:c>
      <x:c r="N295" s="74" t="n">
        <x:f>IF(E295&lt;=0,0,MIN(G295,E295*0.8)*0.01+MAX(0,MIN(G295,E295)-E295*0.8)*0.02)</x:f>
        <x:v>1134</x:v>
      </x:c>
      <x:c r="O295" s="74" t="n">
        <x:f>IF(E295&lt;=0,0,MAX(0,MIN(G295,E295*1.1)-E295)*0.035+MAX(0,G295-E295*1.1)*0.05)</x:f>
        <x:v>19.743850000000023</x:v>
      </x:c>
      <x:c r="P295" s="74" t="n">
        <x:f>N295+O295</x:f>
        <x:v>1153.74385</x:v>
      </x:c>
      <x:c r="Q295" s="76" t="n">
        <x:f>IF(G295&lt;=0,0,P295/G295)</x:f>
        <x:v>0.012136481896269792</x:v>
      </x:c>
    </x:row>
    <x:row r="296">
      <x:c r="A296" s="56" t="str">
        <x:v>EMP025</x:v>
      </x:c>
      <x:c r="B296" s="56" t="str">
        <x:v>Arjun Mehta</x:v>
      </x:c>
      <x:c r="C296" s="56" t="str">
        <x:v>AE I</x:v>
      </x:c>
      <x:c r="D296" s="56" t="str">
        <x:v>2026-07</x:v>
      </x:c>
      <x:c r="E296" s="72" t="n">
        <x:v>73500</x:v>
      </x:c>
      <x:c r="F296" s="72" t="n">
        <x:v>70448.09</x:v>
      </x:c>
      <x:c r="G296" s="72" t="n">
        <x:v>69848.73</x:v>
      </x:c>
      <x:c r="H296" s="72" t="n">
        <x:v>599.36</x:v>
      </x:c>
      <x:c r="I296" s="56" t="n">
        <x:v>0</x:v>
      </x:c>
      <x:c r="J296" s="56" t="n">
        <x:v>0</x:v>
      </x:c>
      <x:c r="K296" s="68" t="n">
        <x:f>IF(E296&lt;=0,"",G296/E296)</x:f>
        <x:v>0.9503228571428571</x:v>
      </x:c>
      <x:c r="L296" t="str">
        <x:f>IF(K296="","Not Calculated",IF(K296&lt;0.8,"Below 80%",IF(K296&lt;1,"80%-99.99%",IF(K296&lt;1.1,"100%-109.99%",IF(K296&lt;1.75,"110%-174.99%","175%+ Review")))))</x:f>
        <x:v>80%-99.99%</x:v>
      </x:c>
      <x:c r="M296" s="56" t="str">
        <x:v>Ready for Commission Calculation</x:v>
      </x:c>
      <x:c r="N296" s="74" t="n">
        <x:f>IF(E296&lt;=0,0,MIN(G296,E296*0.8)*0.01+MAX(0,MIN(G296,E296)-E296*0.8)*0.02)</x:f>
        <x:v>808.9745999999999</x:v>
      </x:c>
      <x:c r="O296" s="74" t="n">
        <x:f>IF(E296&lt;=0,0,MAX(0,MIN(G296,E296*1.1)-E296)*0.035+MAX(0,G296-E296*1.1)*0.05)</x:f>
        <x:v>0</x:v>
      </x:c>
      <x:c r="P296" s="74" t="n">
        <x:f>N296+O296</x:f>
        <x:v>808.9745999999999</x:v>
      </x:c>
      <x:c r="Q296" s="76" t="n">
        <x:f>IF(G296&lt;=0,0,P296/G296)</x:f>
        <x:v>0.01158180828770974</x:v>
      </x:c>
    </x:row>
    <x:row r="297">
      <x:c r="A297" s="56" t="str">
        <x:v>EMP025</x:v>
      </x:c>
      <x:c r="B297" s="56" t="str">
        <x:v>Arjun Mehta</x:v>
      </x:c>
      <x:c r="C297" s="56" t="str">
        <x:v>AE I</x:v>
      </x:c>
      <x:c r="D297" s="56" t="str">
        <x:v>2026-08</x:v>
      </x:c>
      <x:c r="E297" s="72" t="n">
        <x:v>73500</x:v>
      </x:c>
      <x:c r="F297" s="72" t="n">
        <x:v>86157.13</x:v>
      </x:c>
      <x:c r="G297" s="72" t="n">
        <x:v>84670.83</x:v>
      </x:c>
      <x:c r="H297" s="72" t="n">
        <x:v>1486.3</x:v>
      </x:c>
      <x:c r="I297" s="56" t="n">
        <x:v>0</x:v>
      </x:c>
      <x:c r="J297" s="56" t="n">
        <x:v>0</x:v>
      </x:c>
      <x:c r="K297" s="68" t="n">
        <x:f>IF(E297&lt;=0,"",G297/E297)</x:f>
        <x:v>1.151984081632653</x:v>
      </x:c>
      <x:c r="L297" t="str">
        <x:f>IF(K297="","Not Calculated",IF(K297&lt;0.8,"Below 80%",IF(K297&lt;1,"80%-99.99%",IF(K297&lt;1.1,"100%-109.99%",IF(K297&lt;1.75,"110%-174.99%","175%+ Review")))))</x:f>
        <x:v>110%-174.99%</x:v>
      </x:c>
      <x:c r="M297" s="56" t="str">
        <x:v>Ready for Commission Calculation</x:v>
      </x:c>
      <x:c r="N297" s="74" t="n">
        <x:f>IF(E297&lt;=0,0,MIN(G297,E297*0.8)*0.01+MAX(0,MIN(G297,E297)-E297*0.8)*0.02)</x:f>
        <x:v>882</x:v>
      </x:c>
      <x:c r="O297" s="74" t="n">
        <x:f>IF(E297&lt;=0,0,MAX(0,MIN(G297,E297*1.1)-E297)*0.035+MAX(0,G297-E297*1.1)*0.05)</x:f>
        <x:v>448.2915000000001</x:v>
      </x:c>
      <x:c r="P297" s="74" t="n">
        <x:f>N297+O297</x:f>
        <x:v>1330.2915</x:v>
      </x:c>
      <x:c r="Q297" s="76" t="n">
        <x:f>IF(G297&lt;=0,0,P297/G297)</x:f>
        <x:v>0.015711331753804705</x:v>
      </x:c>
    </x:row>
    <x:row r="298">
      <x:c r="A298" s="56" t="str">
        <x:v>EMP025</x:v>
      </x:c>
      <x:c r="B298" s="56" t="str">
        <x:v>Arjun Mehta</x:v>
      </x:c>
      <x:c r="C298" s="56" t="str">
        <x:v>AE I</x:v>
      </x:c>
      <x:c r="D298" s="56" t="str">
        <x:v>2026-09</x:v>
      </x:c>
      <x:c r="E298" s="72" t="n">
        <x:v>105000</x:v>
      </x:c>
      <x:c r="F298" s="72" t="n">
        <x:v>114795.80999999998</x:v>
      </x:c>
      <x:c r="G298" s="72" t="n">
        <x:v>113353.62999999998</x:v>
      </x:c>
      <x:c r="H298" s="72" t="n">
        <x:v>1442.18</x:v>
      </x:c>
      <x:c r="I298" s="56" t="n">
        <x:v>0</x:v>
      </x:c>
      <x:c r="J298" s="56" t="n">
        <x:v>0</x:v>
      </x:c>
      <x:c r="K298" s="68" t="n">
        <x:f>IF(E298&lt;=0,"",G298/E298)</x:f>
        <x:v>1.0795583809523808</x:v>
      </x:c>
      <x:c r="L298" t="str">
        <x:f>IF(K298="","Not Calculated",IF(K298&lt;0.8,"Below 80%",IF(K298&lt;1,"80%-99.99%",IF(K298&lt;1.1,"100%-109.99%",IF(K298&lt;1.75,"110%-174.99%","175%+ Review")))))</x:f>
        <x:v>100%-109.99%</x:v>
      </x:c>
      <x:c r="M298" s="56" t="str">
        <x:v>Ready for Commission Calculation</x:v>
      </x:c>
      <x:c r="N298" s="74" t="n">
        <x:f>IF(E298&lt;=0,0,MIN(G298,E298*0.8)*0.01+MAX(0,MIN(G298,E298)-E298*0.8)*0.02)</x:f>
        <x:v>1260</x:v>
      </x:c>
      <x:c r="O298" s="74" t="n">
        <x:f>IF(E298&lt;=0,0,MAX(0,MIN(G298,E298*1.1)-E298)*0.035+MAX(0,G298-E298*1.1)*0.05)</x:f>
        <x:v>292.37704999999914</x:v>
      </x:c>
      <x:c r="P298" s="74" t="n">
        <x:f>N298+O298</x:f>
        <x:v>1552.3770499999991</x:v>
      </x:c>
      <x:c r="Q298" s="76" t="n">
        <x:f>IF(G298&lt;=0,0,P298/G298)</x:f>
        <x:v>0.01369499194688339</x:v>
      </x:c>
    </x:row>
    <x:row r="299">
      <x:c r="A299" s="56" t="str">
        <x:v>EMP025</x:v>
      </x:c>
      <x:c r="B299" s="56" t="str">
        <x:v>Arjun Mehta</x:v>
      </x:c>
      <x:c r="C299" s="56" t="str">
        <x:v>AE I</x:v>
      </x:c>
      <x:c r="D299" s="56" t="str">
        <x:v>2026-10</x:v>
      </x:c>
      <x:c r="E299" s="72" t="n">
        <x:v>105000</x:v>
      </x:c>
      <x:c r="F299" s="72" t="n">
        <x:v>109674.78999999998</x:v>
      </x:c>
      <x:c r="G299" s="72" t="n">
        <x:v>109382.76999999999</x:v>
      </x:c>
      <x:c r="H299" s="72" t="n">
        <x:v>292.02</x:v>
      </x:c>
      <x:c r="I299" s="56" t="n">
        <x:v>0</x:v>
      </x:c>
      <x:c r="J299" s="56" t="n">
        <x:v>0</x:v>
      </x:c>
      <x:c r="K299" s="68" t="n">
        <x:f>IF(E299&lt;=0,"",G299/E299)</x:f>
        <x:v>1.0417406666666666</x:v>
      </x:c>
      <x:c r="L299" t="str">
        <x:f>IF(K299="","Not Calculated",IF(K299&lt;0.8,"Below 80%",IF(K299&lt;1,"80%-99.99%",IF(K299&lt;1.1,"100%-109.99%",IF(K299&lt;1.75,"110%-174.99%","175%+ Review")))))</x:f>
        <x:v>100%-109.99%</x:v>
      </x:c>
      <x:c r="M299" s="56" t="str">
        <x:v>Ready for Commission Calculation</x:v>
      </x:c>
      <x:c r="N299" s="74" t="n">
        <x:f>IF(E299&lt;=0,0,MIN(G299,E299*0.8)*0.01+MAX(0,MIN(G299,E299)-E299*0.8)*0.02)</x:f>
        <x:v>1260</x:v>
      </x:c>
      <x:c r="O299" s="74" t="n">
        <x:f>IF(E299&lt;=0,0,MAX(0,MIN(G299,E299*1.1)-E299)*0.035+MAX(0,G299-E299*1.1)*0.05)</x:f>
        <x:v>153.39694999999963</x:v>
      </x:c>
      <x:c r="P299" s="74" t="n">
        <x:f>N299+O299</x:f>
        <x:v>1413.3969499999996</x:v>
      </x:c>
      <x:c r="Q299" s="76" t="n">
        <x:f>IF(G299&lt;=0,0,P299/G299)</x:f>
        <x:v>0.012921568451777183</x:v>
      </x:c>
    </x:row>
    <x:row r="300">
      <x:c r="A300" s="56" t="str">
        <x:v>EMP025</x:v>
      </x:c>
      <x:c r="B300" s="56" t="str">
        <x:v>Arjun Mehta</x:v>
      </x:c>
      <x:c r="C300" s="56" t="str">
        <x:v>AE I</x:v>
      </x:c>
      <x:c r="D300" s="56" t="str">
        <x:v>2026-11</x:v>
      </x:c>
      <x:c r="E300" s="72" t="n">
        <x:v>94500</x:v>
      </x:c>
      <x:c r="F300" s="72" t="n">
        <x:v>96062.04000000001</x:v>
      </x:c>
      <x:c r="G300" s="72" t="n">
        <x:v>96062.04000000001</x:v>
      </x:c>
      <x:c r="H300" s="72" t="n">
        <x:v>0</x:v>
      </x:c>
      <x:c r="I300" s="56" t="n">
        <x:v>0</x:v>
      </x:c>
      <x:c r="J300" s="56" t="n">
        <x:v>0</x:v>
      </x:c>
      <x:c r="K300" s="68" t="n">
        <x:f>IF(E300&lt;=0,"",G300/E300)</x:f>
        <x:v>1.016529523809524</x:v>
      </x:c>
      <x:c r="L300" t="str">
        <x:f>IF(K300="","Not Calculated",IF(K300&lt;0.8,"Below 80%",IF(K300&lt;1,"80%-99.99%",IF(K300&lt;1.1,"100%-109.99%",IF(K300&lt;1.75,"110%-174.99%","175%+ Review")))))</x:f>
        <x:v>100%-109.99%</x:v>
      </x:c>
      <x:c r="M300" s="56" t="str">
        <x:v>Ready for Commission Calculation</x:v>
      </x:c>
      <x:c r="N300" s="74" t="n">
        <x:f>IF(E300&lt;=0,0,MIN(G300,E300*0.8)*0.01+MAX(0,MIN(G300,E300)-E300*0.8)*0.02)</x:f>
        <x:v>1134</x:v>
      </x:c>
      <x:c r="O300" s="74" t="n">
        <x:f>IF(E300&lt;=0,0,MAX(0,MIN(G300,E300*1.1)-E300)*0.035+MAX(0,G300-E300*1.1)*0.05)</x:f>
        <x:v>54.67140000000029</x:v>
      </x:c>
      <x:c r="P300" s="74" t="n">
        <x:f>N300+O300</x:f>
        <x:v>1188.6714000000002</x:v>
      </x:c>
      <x:c r="Q300" s="76" t="n">
        <x:f>IF(G300&lt;=0,0,P300/G300)</x:f>
        <x:v>0.012373997054403592</x:v>
      </x:c>
    </x:row>
    <x:row r="301">
      <x:c r="A301" s="56" t="str">
        <x:v>EMP025</x:v>
      </x:c>
      <x:c r="B301" s="56" t="str">
        <x:v>Arjun Mehta</x:v>
      </x:c>
      <x:c r="C301" s="56" t="str">
        <x:v>AE I</x:v>
      </x:c>
      <x:c r="D301" s="56" t="str">
        <x:v>2026-12</x:v>
      </x:c>
      <x:c r="E301" s="72" t="n">
        <x:v>105000</x:v>
      </x:c>
      <x:c r="F301" s="72" t="n">
        <x:v>124310.17000000003</x:v>
      </x:c>
      <x:c r="G301" s="72" t="n">
        <x:v>124310.17000000003</x:v>
      </x:c>
      <x:c r="H301" s="72" t="n">
        <x:v>0</x:v>
      </x:c>
      <x:c r="I301" s="56" t="n">
        <x:v>0</x:v>
      </x:c>
      <x:c r="J301" s="56" t="n">
        <x:v>0</x:v>
      </x:c>
      <x:c r="K301" s="68" t="n">
        <x:f>IF(E301&lt;=0,"",G301/E301)</x:f>
        <x:v>1.1839063809523813</x:v>
      </x:c>
      <x:c r="L301" t="str">
        <x:f>IF(K301="","Not Calculated",IF(K301&lt;0.8,"Below 80%",IF(K301&lt;1,"80%-99.99%",IF(K301&lt;1.1,"100%-109.99%",IF(K301&lt;1.75,"110%-174.99%","175%+ Review")))))</x:f>
        <x:v>110%-174.99%</x:v>
      </x:c>
      <x:c r="M301" s="56" t="str">
        <x:v>Ready for Commission Calculation</x:v>
      </x:c>
      <x:c r="N301" s="74" t="n">
        <x:f>IF(E301&lt;=0,0,MIN(G301,E301*0.8)*0.01+MAX(0,MIN(G301,E301)-E301*0.8)*0.02)</x:f>
        <x:v>1260</x:v>
      </x:c>
      <x:c r="O301" s="74" t="n">
        <x:f>IF(E301&lt;=0,0,MAX(0,MIN(G301,E301*1.1)-E301)*0.035+MAX(0,G301-E301*1.1)*0.05)</x:f>
        <x:v>808.0085000000013</x:v>
      </x:c>
      <x:c r="P301" s="74" t="n">
        <x:f>N301+O301</x:f>
        <x:v>2068.0085000000013</x:v>
      </x:c>
      <x:c r="Q301" s="76" t="n">
        <x:f>IF(G301&lt;=0,0,P301/G301)</x:f>
        <x:v>0.016635875407458624</x:v>
      </x:c>
    </x:row>
    <x:row r="302">
      <x:c r="A302" s="56" t="str">
        <x:v>EMP026</x:v>
      </x:c>
      <x:c r="B302" s="56" t="str">
        <x:v>Grace Park</x:v>
      </x:c>
      <x:c r="C302" s="56" t="str">
        <x:v>AE I</x:v>
      </x:c>
      <x:c r="D302" s="56" t="str">
        <x:v>2026-01</x:v>
      </x:c>
      <x:c r="E302" s="72" t="n">
        <x:v>69300</x:v>
      </x:c>
      <x:c r="F302" s="72" t="n">
        <x:v>57138.1</x:v>
      </x:c>
      <x:c r="G302" s="72" t="n">
        <x:v>57138.1</x:v>
      </x:c>
      <x:c r="H302" s="72" t="n">
        <x:v>0</x:v>
      </x:c>
      <x:c r="I302" s="56" t="n">
        <x:v>0</x:v>
      </x:c>
      <x:c r="J302" s="56" t="n">
        <x:v>0</x:v>
      </x:c>
      <x:c r="K302" s="68" t="n">
        <x:f>IF(E302&lt;=0,"",G302/E302)</x:f>
        <x:v>0.8245036075036075</x:v>
      </x:c>
      <x:c r="L302" t="str">
        <x:f>IF(K302="","Not Calculated",IF(K302&lt;0.8,"Below 80%",IF(K302&lt;1,"80%-99.99%",IF(K302&lt;1.1,"100%-109.99%",IF(K302&lt;1.75,"110%-174.99%","175%+ Review")))))</x:f>
        <x:v>80%-99.99%</x:v>
      </x:c>
      <x:c r="M302" s="56" t="str">
        <x:v>Ready for Commission Calculation</x:v>
      </x:c>
      <x:c r="N302" s="74" t="n">
        <x:f>IF(E302&lt;=0,0,MIN(G302,E302*0.8)*0.01+MAX(0,MIN(G302,E302)-E302*0.8)*0.02)</x:f>
        <x:v>588.362</x:v>
      </x:c>
      <x:c r="O302" s="74" t="n">
        <x:f>IF(E302&lt;=0,0,MAX(0,MIN(G302,E302*1.1)-E302)*0.035+MAX(0,G302-E302*1.1)*0.05)</x:f>
        <x:v>0</x:v>
      </x:c>
      <x:c r="P302" s="74" t="n">
        <x:f>N302+O302</x:f>
        <x:v>588.362</x:v>
      </x:c>
      <x:c r="Q302" s="76" t="n">
        <x:f>IF(G302&lt;=0,0,P302/G302)</x:f>
        <x:v>0.010297192241254085</x:v>
      </x:c>
    </x:row>
    <x:row r="303">
      <x:c r="A303" s="56" t="str">
        <x:v>EMP026</x:v>
      </x:c>
      <x:c r="B303" s="56" t="str">
        <x:v>Grace Park</x:v>
      </x:c>
      <x:c r="C303" s="56" t="str">
        <x:v>AE I</x:v>
      </x:c>
      <x:c r="D303" s="56" t="str">
        <x:v>2026-02</x:v>
      </x:c>
      <x:c r="E303" s="72" t="n">
        <x:v>69300</x:v>
      </x:c>
      <x:c r="F303" s="72" t="n">
        <x:v>53528.52999999999</x:v>
      </x:c>
      <x:c r="G303" s="72" t="n">
        <x:v>53528.52999999999</x:v>
      </x:c>
      <x:c r="H303" s="72" t="n">
        <x:v>0</x:v>
      </x:c>
      <x:c r="I303" s="56" t="n">
        <x:v>0</x:v>
      </x:c>
      <x:c r="J303" s="56" t="n">
        <x:v>0</x:v>
      </x:c>
      <x:c r="K303" s="68" t="n">
        <x:f>IF(E303&lt;=0,"",G303/E303)</x:f>
        <x:v>0.7724174603174602</x:v>
      </x:c>
      <x:c r="L303" t="str">
        <x:f>IF(K303="","Not Calculated",IF(K303&lt;0.8,"Below 80%",IF(K303&lt;1,"80%-99.99%",IF(K303&lt;1.1,"100%-109.99%",IF(K303&lt;1.75,"110%-174.99%","175%+ Review")))))</x:f>
        <x:v>Below 80%</x:v>
      </x:c>
      <x:c r="M303" s="56" t="str">
        <x:v>Ready for Commission Calculation</x:v>
      </x:c>
      <x:c r="N303" s="74" t="n">
        <x:f>IF(E303&lt;=0,0,MIN(G303,E303*0.8)*0.01+MAX(0,MIN(G303,E303)-E303*0.8)*0.02)</x:f>
        <x:v>535.2852999999999</x:v>
      </x:c>
      <x:c r="O303" s="74" t="n">
        <x:f>IF(E303&lt;=0,0,MAX(0,MIN(G303,E303*1.1)-E303)*0.035+MAX(0,G303-E303*1.1)*0.05)</x:f>
        <x:v>0</x:v>
      </x:c>
      <x:c r="P303" s="74" t="n">
        <x:f>N303+O303</x:f>
        <x:v>535.2852999999999</x:v>
      </x:c>
      <x:c r="Q303" s="76" t="n">
        <x:f>IF(G303&lt;=0,0,P303/G303)</x:f>
        <x:v>0.01</x:v>
      </x:c>
    </x:row>
    <x:row r="304">
      <x:c r="A304" s="56" t="str">
        <x:v>EMP026</x:v>
      </x:c>
      <x:c r="B304" s="56" t="str">
        <x:v>Grace Park</x:v>
      </x:c>
      <x:c r="C304" s="56" t="str">
        <x:v>AE I</x:v>
      </x:c>
      <x:c r="D304" s="56" t="str">
        <x:v>2026-03</x:v>
      </x:c>
      <x:c r="E304" s="72" t="n">
        <x:v>79200</x:v>
      </x:c>
      <x:c r="F304" s="72" t="n">
        <x:v>83102.26999999999</x:v>
      </x:c>
      <x:c r="G304" s="72" t="n">
        <x:v>69853.73999999999</x:v>
      </x:c>
      <x:c r="H304" s="72" t="n">
        <x:v>13248.53</x:v>
      </x:c>
      <x:c r="I304" s="56" t="n">
        <x:v>0</x:v>
      </x:c>
      <x:c r="J304" s="56" t="n">
        <x:v>0</x:v>
      </x:c>
      <x:c r="K304" s="68" t="n">
        <x:f>IF(E304&lt;=0,"",G304/E304)</x:f>
        <x:v>0.8819916666666665</x:v>
      </x:c>
      <x:c r="L304" t="str">
        <x:f>IF(K304="","Not Calculated",IF(K304&lt;0.8,"Below 80%",IF(K304&lt;1,"80%-99.99%",IF(K304&lt;1.1,"100%-109.99%",IF(K304&lt;1.75,"110%-174.99%","175%+ Review")))))</x:f>
        <x:v>80%-99.99%</x:v>
      </x:c>
      <x:c r="M304" s="56" t="str">
        <x:v>Ready for Commission Calculation</x:v>
      </x:c>
      <x:c r="N304" s="74" t="n">
        <x:f>IF(E304&lt;=0,0,MIN(G304,E304*0.8)*0.01+MAX(0,MIN(G304,E304)-E304*0.8)*0.02)</x:f>
        <x:v>763.4747999999998</x:v>
      </x:c>
      <x:c r="O304" s="74" t="n">
        <x:f>IF(E304&lt;=0,0,MAX(0,MIN(G304,E304*1.1)-E304)*0.035+MAX(0,G304-E304*1.1)*0.05)</x:f>
        <x:v>0</x:v>
      </x:c>
      <x:c r="P304" s="74" t="n">
        <x:f>N304+O304</x:f>
        <x:v>763.4747999999998</x:v>
      </x:c>
      <x:c r="Q304" s="76" t="n">
        <x:f>IF(G304&lt;=0,0,P304/G304)</x:f>
        <x:v>0.01092961951643534</x:v>
      </x:c>
    </x:row>
    <x:row r="305">
      <x:c r="A305" s="56" t="str">
        <x:v>EMP026</x:v>
      </x:c>
      <x:c r="B305" s="56" t="str">
        <x:v>Grace Park</x:v>
      </x:c>
      <x:c r="C305" s="56" t="str">
        <x:v>AE I</x:v>
      </x:c>
      <x:c r="D305" s="56" t="str">
        <x:v>2026-04</x:v>
      </x:c>
      <x:c r="E305" s="72" t="n">
        <x:v>79200</x:v>
      </x:c>
      <x:c r="F305" s="72" t="n">
        <x:v>77985.93000000001</x:v>
      </x:c>
      <x:c r="G305" s="72" t="n">
        <x:v>74391.41</x:v>
      </x:c>
      <x:c r="H305" s="72" t="n">
        <x:v>3594.5200000000004</x:v>
      </x:c>
      <x:c r="I305" s="56" t="n">
        <x:v>0</x:v>
      </x:c>
      <x:c r="J305" s="56" t="n">
        <x:v>0</x:v>
      </x:c>
      <x:c r="K305" s="68" t="n">
        <x:f>IF(E305&lt;=0,"",G305/E305)</x:f>
        <x:v>0.9392854797979798</x:v>
      </x:c>
      <x:c r="L305" t="str">
        <x:f>IF(K305="","Not Calculated",IF(K305&lt;0.8,"Below 80%",IF(K305&lt;1,"80%-99.99%",IF(K305&lt;1.1,"100%-109.99%",IF(K305&lt;1.75,"110%-174.99%","175%+ Review")))))</x:f>
        <x:v>80%-99.99%</x:v>
      </x:c>
      <x:c r="M305" s="56" t="str">
        <x:v>Ready for Commission Calculation</x:v>
      </x:c>
      <x:c r="N305" s="74" t="n">
        <x:f>IF(E305&lt;=0,0,MIN(G305,E305*0.8)*0.01+MAX(0,MIN(G305,E305)-E305*0.8)*0.02)</x:f>
        <x:v>854.2282000000001</x:v>
      </x:c>
      <x:c r="O305" s="74" t="n">
        <x:f>IF(E305&lt;=0,0,MAX(0,MIN(G305,E305*1.1)-E305)*0.035+MAX(0,G305-E305*1.1)*0.05)</x:f>
        <x:v>0</x:v>
      </x:c>
      <x:c r="P305" s="74" t="n">
        <x:f>N305+O305</x:f>
        <x:v>854.2282000000001</x:v>
      </x:c>
      <x:c r="Q305" s="76" t="n">
        <x:f>IF(G305&lt;=0,0,P305/G305)</x:f>
        <x:v>0.011482887607588027</x:v>
      </x:c>
    </x:row>
    <x:row r="306">
      <x:c r="A306" s="56" t="str">
        <x:v>EMP026</x:v>
      </x:c>
      <x:c r="B306" s="56" t="str">
        <x:v>Grace Park</x:v>
      </x:c>
      <x:c r="C306" s="56" t="str">
        <x:v>AE I</x:v>
      </x:c>
      <x:c r="D306" s="56" t="str">
        <x:v>2026-05</x:v>
      </x:c>
      <x:c r="E306" s="72" t="n">
        <x:v>79200</x:v>
      </x:c>
      <x:c r="F306" s="72" t="n">
        <x:v>53241.649999999994</x:v>
      </x:c>
      <x:c r="G306" s="72" t="n">
        <x:v>53115.38</x:v>
      </x:c>
      <x:c r="H306" s="72" t="n">
        <x:v>126.27</x:v>
      </x:c>
      <x:c r="I306" s="56" t="n">
        <x:v>0</x:v>
      </x:c>
      <x:c r="J306" s="56" t="n">
        <x:v>0</x:v>
      </x:c>
      <x:c r="K306" s="68" t="n">
        <x:f>IF(E306&lt;=0,"",G306/E306)</x:f>
        <x:v>0.6706487373737373</x:v>
      </x:c>
      <x:c r="L306" t="str">
        <x:f>IF(K306="","Not Calculated",IF(K306&lt;0.8,"Below 80%",IF(K306&lt;1,"80%-99.99%",IF(K306&lt;1.1,"100%-109.99%",IF(K306&lt;1.75,"110%-174.99%","175%+ Review")))))</x:f>
        <x:v>Below 80%</x:v>
      </x:c>
      <x:c r="M306" s="56" t="str">
        <x:v>Ready for Commission Calculation</x:v>
      </x:c>
      <x:c r="N306" s="74" t="n">
        <x:f>IF(E306&lt;=0,0,MIN(G306,E306*0.8)*0.01+MAX(0,MIN(G306,E306)-E306*0.8)*0.02)</x:f>
        <x:v>531.1537999999999</x:v>
      </x:c>
      <x:c r="O306" s="74" t="n">
        <x:f>IF(E306&lt;=0,0,MAX(0,MIN(G306,E306*1.1)-E306)*0.035+MAX(0,G306-E306*1.1)*0.05)</x:f>
        <x:v>0</x:v>
      </x:c>
      <x:c r="P306" s="74" t="n">
        <x:f>N306+O306</x:f>
        <x:v>531.1537999999999</x:v>
      </x:c>
      <x:c r="Q306" s="76" t="n">
        <x:f>IF(G306&lt;=0,0,P306/G306)</x:f>
        <x:v>0.009999999999999998</x:v>
      </x:c>
    </x:row>
    <x:row r="307">
      <x:c r="A307" s="56" t="str">
        <x:v>EMP026</x:v>
      </x:c>
      <x:c r="B307" s="56" t="str">
        <x:v>Grace Park</x:v>
      </x:c>
      <x:c r="C307" s="56" t="str">
        <x:v>AE I</x:v>
      </x:c>
      <x:c r="D307" s="56" t="str">
        <x:v>2026-06</x:v>
      </x:c>
      <x:c r="E307" s="72" t="n">
        <x:v>89100</x:v>
      </x:c>
      <x:c r="F307" s="72" t="n">
        <x:v>72741.4</x:v>
      </x:c>
      <x:c r="G307" s="72" t="n">
        <x:v>70758.23</x:v>
      </x:c>
      <x:c r="H307" s="72" t="n">
        <x:v>1983.1699999999998</x:v>
      </x:c>
      <x:c r="I307" s="56" t="n">
        <x:v>0</x:v>
      </x:c>
      <x:c r="J307" s="56" t="n">
        <x:v>0</x:v>
      </x:c>
      <x:c r="K307" s="68" t="n">
        <x:f>IF(E307&lt;=0,"",G307/E307)</x:f>
        <x:v>0.7941439955106622</x:v>
      </x:c>
      <x:c r="L307" t="str">
        <x:f>IF(K307="","Not Calculated",IF(K307&lt;0.8,"Below 80%",IF(K307&lt;1,"80%-99.99%",IF(K307&lt;1.1,"100%-109.99%",IF(K307&lt;1.75,"110%-174.99%","175%+ Review")))))</x:f>
        <x:v>Below 80%</x:v>
      </x:c>
      <x:c r="M307" s="56" t="str">
        <x:v>Ready for Commission Calculation</x:v>
      </x:c>
      <x:c r="N307" s="74" t="n">
        <x:f>IF(E307&lt;=0,0,MIN(G307,E307*0.8)*0.01+MAX(0,MIN(G307,E307)-E307*0.8)*0.02)</x:f>
        <x:v>707.5822999999999</x:v>
      </x:c>
      <x:c r="O307" s="74" t="n">
        <x:f>IF(E307&lt;=0,0,MAX(0,MIN(G307,E307*1.1)-E307)*0.035+MAX(0,G307-E307*1.1)*0.05)</x:f>
        <x:v>0</x:v>
      </x:c>
      <x:c r="P307" s="74" t="n">
        <x:f>N307+O307</x:f>
        <x:v>707.5822999999999</x:v>
      </x:c>
      <x:c r="Q307" s="76" t="n">
        <x:f>IF(G307&lt;=0,0,P307/G307)</x:f>
        <x:v>0.01</x:v>
      </x:c>
    </x:row>
    <x:row r="308">
      <x:c r="A308" s="56" t="str">
        <x:v>EMP026</x:v>
      </x:c>
      <x:c r="B308" s="56" t="str">
        <x:v>Grace Park</x:v>
      </x:c>
      <x:c r="C308" s="56" t="str">
        <x:v>AE I</x:v>
      </x:c>
      <x:c r="D308" s="56" t="str">
        <x:v>2026-07</x:v>
      </x:c>
      <x:c r="E308" s="72" t="n">
        <x:v>69300</x:v>
      </x:c>
      <x:c r="F308" s="72" t="n">
        <x:v>72153.44</x:v>
      </x:c>
      <x:c r="G308" s="72" t="n">
        <x:v>65132.14000000001</x:v>
      </x:c>
      <x:c r="H308" s="72" t="n">
        <x:v>7021.3</x:v>
      </x:c>
      <x:c r="I308" s="56" t="n">
        <x:v>0</x:v>
      </x:c>
      <x:c r="J308" s="56" t="n">
        <x:v>0</x:v>
      </x:c>
      <x:c r="K308" s="68" t="n">
        <x:f>IF(E308&lt;=0,"",G308/E308)</x:f>
        <x:v>0.9398577200577202</x:v>
      </x:c>
      <x:c r="L308" t="str">
        <x:f>IF(K308="","Not Calculated",IF(K308&lt;0.8,"Below 80%",IF(K308&lt;1,"80%-99.99%",IF(K308&lt;1.1,"100%-109.99%",IF(K308&lt;1.75,"110%-174.99%","175%+ Review")))))</x:f>
        <x:v>80%-99.99%</x:v>
      </x:c>
      <x:c r="M308" s="56" t="str">
        <x:v>Ready for Commission Calculation</x:v>
      </x:c>
      <x:c r="N308" s="74" t="n">
        <x:f>IF(E308&lt;=0,0,MIN(G308,E308*0.8)*0.01+MAX(0,MIN(G308,E308)-E308*0.8)*0.02)</x:f>
        <x:v>748.2428000000001</x:v>
      </x:c>
      <x:c r="O308" s="74" t="n">
        <x:f>IF(E308&lt;=0,0,MAX(0,MIN(G308,E308*1.1)-E308)*0.035+MAX(0,G308-E308*1.1)*0.05)</x:f>
        <x:v>0</x:v>
      </x:c>
      <x:c r="P308" s="74" t="n">
        <x:f>N308+O308</x:f>
        <x:v>748.2428000000001</x:v>
      </x:c>
      <x:c r="Q308" s="76" t="n">
        <x:f>IF(G308&lt;=0,0,P308/G308)</x:f>
        <x:v>0.011488073322940103</x:v>
      </x:c>
    </x:row>
    <x:row r="309">
      <x:c r="A309" s="56" t="str">
        <x:v>EMP026</x:v>
      </x:c>
      <x:c r="B309" s="56" t="str">
        <x:v>Grace Park</x:v>
      </x:c>
      <x:c r="C309" s="56" t="str">
        <x:v>AE I</x:v>
      </x:c>
      <x:c r="D309" s="56" t="str">
        <x:v>2026-08</x:v>
      </x:c>
      <x:c r="E309" s="72" t="n">
        <x:v>69300</x:v>
      </x:c>
      <x:c r="F309" s="72" t="n">
        <x:v>56354.14</x:v>
      </x:c>
      <x:c r="G309" s="72" t="n">
        <x:v>56354.14</x:v>
      </x:c>
      <x:c r="H309" s="72" t="n">
        <x:v>0</x:v>
      </x:c>
      <x:c r="I309" s="56" t="n">
        <x:v>0</x:v>
      </x:c>
      <x:c r="J309" s="56" t="n">
        <x:v>0</x:v>
      </x:c>
      <x:c r="K309" s="68" t="n">
        <x:f>IF(E309&lt;=0,"",G309/E309)</x:f>
        <x:v>0.8131910533910534</x:v>
      </x:c>
      <x:c r="L309" t="str">
        <x:f>IF(K309="","Not Calculated",IF(K309&lt;0.8,"Below 80%",IF(K309&lt;1,"80%-99.99%",IF(K309&lt;1.1,"100%-109.99%",IF(K309&lt;1.75,"110%-174.99%","175%+ Review")))))</x:f>
        <x:v>80%-99.99%</x:v>
      </x:c>
      <x:c r="M309" s="56" t="str">
        <x:v>Ready for Commission Calculation</x:v>
      </x:c>
      <x:c r="N309" s="74" t="n">
        <x:f>IF(E309&lt;=0,0,MIN(G309,E309*0.8)*0.01+MAX(0,MIN(G309,E309)-E309*0.8)*0.02)</x:f>
        <x:v>572.6827999999999</x:v>
      </x:c>
      <x:c r="O309" s="74" t="n">
        <x:f>IF(E309&lt;=0,0,MAX(0,MIN(G309,E309*1.1)-E309)*0.035+MAX(0,G309-E309*1.1)*0.05)</x:f>
        <x:v>0</x:v>
      </x:c>
      <x:c r="P309" s="74" t="n">
        <x:f>N309+O309</x:f>
        <x:v>572.6827999999999</x:v>
      </x:c>
      <x:c r="Q309" s="76" t="n">
        <x:f>IF(G309&lt;=0,0,P309/G309)</x:f>
        <x:v>0.010162213459383817</x:v>
      </x:c>
    </x:row>
    <x:row r="310">
      <x:c r="A310" s="56" t="str">
        <x:v>EMP026</x:v>
      </x:c>
      <x:c r="B310" s="56" t="str">
        <x:v>Grace Park</x:v>
      </x:c>
      <x:c r="C310" s="56" t="str">
        <x:v>AE I</x:v>
      </x:c>
      <x:c r="D310" s="56" t="str">
        <x:v>2026-09</x:v>
      </x:c>
      <x:c r="E310" s="72" t="n">
        <x:v>99000</x:v>
      </x:c>
      <x:c r="F310" s="72" t="n">
        <x:v>69478.23</x:v>
      </x:c>
      <x:c r="G310" s="72" t="n">
        <x:v>68928.16</x:v>
      </x:c>
      <x:c r="H310" s="72" t="n">
        <x:v>550.07</x:v>
      </x:c>
      <x:c r="I310" s="56" t="n">
        <x:v>0</x:v>
      </x:c>
      <x:c r="J310" s="56" t="n">
        <x:v>0</x:v>
      </x:c>
      <x:c r="K310" s="68" t="n">
        <x:f>IF(E310&lt;=0,"",G310/E310)</x:f>
        <x:v>0.6962440404040404</x:v>
      </x:c>
      <x:c r="L310" t="str">
        <x:f>IF(K310="","Not Calculated",IF(K310&lt;0.8,"Below 80%",IF(K310&lt;1,"80%-99.99%",IF(K310&lt;1.1,"100%-109.99%",IF(K310&lt;1.75,"110%-174.99%","175%+ Review")))))</x:f>
        <x:v>Below 80%</x:v>
      </x:c>
      <x:c r="M310" s="56" t="str">
        <x:v>Ready for Commission Calculation</x:v>
      </x:c>
      <x:c r="N310" s="74" t="n">
        <x:f>IF(E310&lt;=0,0,MIN(G310,E310*0.8)*0.01+MAX(0,MIN(G310,E310)-E310*0.8)*0.02)</x:f>
        <x:v>689.2816</x:v>
      </x:c>
      <x:c r="O310" s="74" t="n">
        <x:f>IF(E310&lt;=0,0,MAX(0,MIN(G310,E310*1.1)-E310)*0.035+MAX(0,G310-E310*1.1)*0.05)</x:f>
        <x:v>0</x:v>
      </x:c>
      <x:c r="P310" s="74" t="n">
        <x:f>N310+O310</x:f>
        <x:v>689.2816</x:v>
      </x:c>
      <x:c r="Q310" s="76" t="n">
        <x:f>IF(G310&lt;=0,0,P310/G310)</x:f>
        <x:v>0.01</x:v>
      </x:c>
    </x:row>
    <x:row r="311">
      <x:c r="A311" s="56" t="str">
        <x:v>EMP026</x:v>
      </x:c>
      <x:c r="B311" s="56" t="str">
        <x:v>Grace Park</x:v>
      </x:c>
      <x:c r="C311" s="56" t="str">
        <x:v>AE I</x:v>
      </x:c>
      <x:c r="D311" s="56" t="str">
        <x:v>2026-10</x:v>
      </x:c>
      <x:c r="E311" s="72" t="n">
        <x:v>99000</x:v>
      </x:c>
      <x:c r="F311" s="72" t="n">
        <x:v>80191.72999999998</x:v>
      </x:c>
      <x:c r="G311" s="72" t="n">
        <x:v>80191.72999999998</x:v>
      </x:c>
      <x:c r="H311" s="72" t="n">
        <x:v>0</x:v>
      </x:c>
      <x:c r="I311" s="56" t="n">
        <x:v>0</x:v>
      </x:c>
      <x:c r="J311" s="56" t="n">
        <x:v>0</x:v>
      </x:c>
      <x:c r="K311" s="68" t="n">
        <x:f>IF(E311&lt;=0,"",G311/E311)</x:f>
        <x:v>0.8100174747474745</x:v>
      </x:c>
      <x:c r="L311" t="str">
        <x:f>IF(K311="","Not Calculated",IF(K311&lt;0.8,"Below 80%",IF(K311&lt;1,"80%-99.99%",IF(K311&lt;1.1,"100%-109.99%",IF(K311&lt;1.75,"110%-174.99%","175%+ Review")))))</x:f>
        <x:v>80%-99.99%</x:v>
      </x:c>
      <x:c r="M311" s="56" t="str">
        <x:v>Ready for Commission Calculation</x:v>
      </x:c>
      <x:c r="N311" s="74" t="n">
        <x:f>IF(E311&lt;=0,0,MIN(G311,E311*0.8)*0.01+MAX(0,MIN(G311,E311)-E311*0.8)*0.02)</x:f>
        <x:v>811.8345999999997</x:v>
      </x:c>
      <x:c r="O311" s="74" t="n">
        <x:f>IF(E311&lt;=0,0,MAX(0,MIN(G311,E311*1.1)-E311)*0.035+MAX(0,G311-E311*1.1)*0.05)</x:f>
        <x:v>0</x:v>
      </x:c>
      <x:c r="P311" s="74" t="n">
        <x:f>N311+O311</x:f>
        <x:v>811.8345999999997</x:v>
      </x:c>
      <x:c r="Q311" s="76" t="n">
        <x:f>IF(G311&lt;=0,0,P311/G311)</x:f>
        <x:v>0.010123669859722441</x:v>
      </x:c>
    </x:row>
    <x:row r="312">
      <x:c r="A312" s="56" t="str">
        <x:v>EMP026</x:v>
      </x:c>
      <x:c r="B312" s="56" t="str">
        <x:v>Grace Park</x:v>
      </x:c>
      <x:c r="C312" s="56" t="str">
        <x:v>AE I</x:v>
      </x:c>
      <x:c r="D312" s="56" t="str">
        <x:v>2026-11</x:v>
      </x:c>
      <x:c r="E312" s="72" t="n">
        <x:v>89100</x:v>
      </x:c>
      <x:c r="F312" s="72" t="n">
        <x:v>75196.79000000001</x:v>
      </x:c>
      <x:c r="G312" s="72" t="n">
        <x:v>75196.79000000001</x:v>
      </x:c>
      <x:c r="H312" s="72" t="n">
        <x:v>0</x:v>
      </x:c>
      <x:c r="I312" s="56" t="n">
        <x:v>0</x:v>
      </x:c>
      <x:c r="J312" s="56" t="n">
        <x:v>0</x:v>
      </x:c>
      <x:c r="K312" s="68" t="n">
        <x:f>IF(E312&lt;=0,"",G312/E312)</x:f>
        <x:v>0.8439594837261505</x:v>
      </x:c>
      <x:c r="L312" t="str">
        <x:f>IF(K312="","Not Calculated",IF(K312&lt;0.8,"Below 80%",IF(K312&lt;1,"80%-99.99%",IF(K312&lt;1.1,"100%-109.99%",IF(K312&lt;1.75,"110%-174.99%","175%+ Review")))))</x:f>
        <x:v>80%-99.99%</x:v>
      </x:c>
      <x:c r="M312" s="56" t="str">
        <x:v>Ready for Commission Calculation</x:v>
      </x:c>
      <x:c r="N312" s="74" t="n">
        <x:f>IF(E312&lt;=0,0,MIN(G312,E312*0.8)*0.01+MAX(0,MIN(G312,E312)-E312*0.8)*0.02)</x:f>
        <x:v>791.1358000000002</x:v>
      </x:c>
      <x:c r="O312" s="74" t="n">
        <x:f>IF(E312&lt;=0,0,MAX(0,MIN(G312,E312*1.1)-E312)*0.035+MAX(0,G312-E312*1.1)*0.05)</x:f>
        <x:v>0</x:v>
      </x:c>
      <x:c r="P312" s="74" t="n">
        <x:f>N312+O312</x:f>
        <x:v>791.1358000000002</x:v>
      </x:c>
      <x:c r="Q312" s="76" t="n">
        <x:f>IF(G312&lt;=0,0,P312/G312)</x:f>
        <x:v>0.010520871968072044</x:v>
      </x:c>
    </x:row>
    <x:row r="313">
      <x:c r="A313" s="56" t="str">
        <x:v>EMP026</x:v>
      </x:c>
      <x:c r="B313" s="56" t="str">
        <x:v>Grace Park</x:v>
      </x:c>
      <x:c r="C313" s="56" t="str">
        <x:v>AE I</x:v>
      </x:c>
      <x:c r="D313" s="56" t="str">
        <x:v>2026-12</x:v>
      </x:c>
      <x:c r="E313" s="72" t="n">
        <x:v>99000</x:v>
      </x:c>
      <x:c r="F313" s="72" t="n">
        <x:v>78410.54000000001</x:v>
      </x:c>
      <x:c r="G313" s="72" t="n">
        <x:v>76948.89</x:v>
      </x:c>
      <x:c r="H313" s="72" t="n">
        <x:v>1461.65</x:v>
      </x:c>
      <x:c r="I313" s="56" t="n">
        <x:v>0</x:v>
      </x:c>
      <x:c r="J313" s="56" t="n">
        <x:v>0</x:v>
      </x:c>
      <x:c r="K313" s="68" t="n">
        <x:f>IF(E313&lt;=0,"",G313/E313)</x:f>
        <x:v>0.7772615151515151</x:v>
      </x:c>
      <x:c r="L313" t="str">
        <x:f>IF(K313="","Not Calculated",IF(K313&lt;0.8,"Below 80%",IF(K313&lt;1,"80%-99.99%",IF(K313&lt;1.1,"100%-109.99%",IF(K313&lt;1.75,"110%-174.99%","175%+ Review")))))</x:f>
        <x:v>Below 80%</x:v>
      </x:c>
      <x:c r="M313" s="56" t="str">
        <x:v>Ready for Commission Calculation</x:v>
      </x:c>
      <x:c r="N313" s="74" t="n">
        <x:f>IF(E313&lt;=0,0,MIN(G313,E313*0.8)*0.01+MAX(0,MIN(G313,E313)-E313*0.8)*0.02)</x:f>
        <x:v>769.4889000000001</x:v>
      </x:c>
      <x:c r="O313" s="74" t="n">
        <x:f>IF(E313&lt;=0,0,MAX(0,MIN(G313,E313*1.1)-E313)*0.035+MAX(0,G313-E313*1.1)*0.05)</x:f>
        <x:v>0</x:v>
      </x:c>
      <x:c r="P313" s="74" t="n">
        <x:f>N313+O313</x:f>
        <x:v>769.4889000000001</x:v>
      </x:c>
      <x:c r="Q313" s="76" t="n">
        <x:f>IF(G313&lt;=0,0,P313/G313)</x:f>
        <x:v>0.01</x:v>
      </x:c>
    </x:row>
    <x:row r="314">
      <x:c r="A314" s="56" t="str">
        <x:v>EMP027</x:v>
      </x:c>
      <x:c r="B314" s="56" t="str">
        <x:v>Dylan Campbell</x:v>
      </x:c>
      <x:c r="C314" s="56" t="str">
        <x:v>AE I</x:v>
      </x:c>
      <x:c r="D314" s="56" t="str">
        <x:v>2026-01</x:v>
      </x:c>
      <x:c r="E314" s="72" t="n">
        <x:v>74900</x:v>
      </x:c>
      <x:c r="F314" s="72" t="n">
        <x:v>68089.61</x:v>
      </x:c>
      <x:c r="G314" s="72" t="n">
        <x:v>66378.91</x:v>
      </x:c>
      <x:c r="H314" s="72" t="n">
        <x:v>1710.7</x:v>
      </x:c>
      <x:c r="I314" s="56" t="n">
        <x:v>0</x:v>
      </x:c>
      <x:c r="J314" s="56" t="n">
        <x:v>0</x:v>
      </x:c>
      <x:c r="K314" s="68" t="n">
        <x:f>IF(E314&lt;=0,"",G314/E314)</x:f>
        <x:v>0.8862337783711616</x:v>
      </x:c>
      <x:c r="L314" t="str">
        <x:f>IF(K314="","Not Calculated",IF(K314&lt;0.8,"Below 80%",IF(K314&lt;1,"80%-99.99%",IF(K314&lt;1.1,"100%-109.99%",IF(K314&lt;1.75,"110%-174.99%","175%+ Review")))))</x:f>
        <x:v>80%-99.99%</x:v>
      </x:c>
      <x:c r="M314" s="56" t="str">
        <x:v>Ready for Commission Calculation</x:v>
      </x:c>
      <x:c r="N314" s="74" t="n">
        <x:f>IF(E314&lt;=0,0,MIN(G314,E314*0.8)*0.01+MAX(0,MIN(G314,E314)-E314*0.8)*0.02)</x:f>
        <x:v>728.3782000000001</x:v>
      </x:c>
      <x:c r="O314" s="74" t="n">
        <x:f>IF(E314&lt;=0,0,MAX(0,MIN(G314,E314*1.1)-E314)*0.035+MAX(0,G314-E314*1.1)*0.05)</x:f>
        <x:v>0</x:v>
      </x:c>
      <x:c r="P314" s="74" t="n">
        <x:f>N314+O314</x:f>
        <x:v>728.3782000000001</x:v>
      </x:c>
      <x:c r="Q314" s="76" t="n">
        <x:f>IF(G314&lt;=0,0,P314/G314)</x:f>
        <x:v>0.010973036465949803</x:v>
      </x:c>
    </x:row>
    <x:row r="315">
      <x:c r="A315" s="56" t="str">
        <x:v>EMP027</x:v>
      </x:c>
      <x:c r="B315" s="56" t="str">
        <x:v>Dylan Campbell</x:v>
      </x:c>
      <x:c r="C315" s="56" t="str">
        <x:v>AE I</x:v>
      </x:c>
      <x:c r="D315" s="56" t="str">
        <x:v>2026-02</x:v>
      </x:c>
      <x:c r="E315" s="72" t="n">
        <x:v>74900</x:v>
      </x:c>
      <x:c r="F315" s="72" t="n">
        <x:v>63052.64000000001</x:v>
      </x:c>
      <x:c r="G315" s="72" t="n">
        <x:v>62564.21</x:v>
      </x:c>
      <x:c r="H315" s="72" t="n">
        <x:v>488.43</x:v>
      </x:c>
      <x:c r="I315" s="56" t="n">
        <x:v>0</x:v>
      </x:c>
      <x:c r="J315" s="56" t="n">
        <x:v>0</x:v>
      </x:c>
      <x:c r="K315" s="68" t="n">
        <x:f>IF(E315&lt;=0,"",G315/E315)</x:f>
        <x:v>0.8353032042723632</x:v>
      </x:c>
      <x:c r="L315" t="str">
        <x:f>IF(K315="","Not Calculated",IF(K315&lt;0.8,"Below 80%",IF(K315&lt;1,"80%-99.99%",IF(K315&lt;1.1,"100%-109.99%",IF(K315&lt;1.75,"110%-174.99%","175%+ Review")))))</x:f>
        <x:v>80%-99.99%</x:v>
      </x:c>
      <x:c r="M315" s="56" t="str">
        <x:v>Ready for Commission Calculation</x:v>
      </x:c>
      <x:c r="N315" s="74" t="n">
        <x:f>IF(E315&lt;=0,0,MIN(G315,E315*0.8)*0.01+MAX(0,MIN(G315,E315)-E315*0.8)*0.02)</x:f>
        <x:v>652.0842</x:v>
      </x:c>
      <x:c r="O315" s="74" t="n">
        <x:f>IF(E315&lt;=0,0,MAX(0,MIN(G315,E315*1.1)-E315)*0.035+MAX(0,G315-E315*1.1)*0.05)</x:f>
        <x:v>0</x:v>
      </x:c>
      <x:c r="P315" s="74" t="n">
        <x:f>N315+O315</x:f>
        <x:v>652.0842</x:v>
      </x:c>
      <x:c r="Q315" s="76" t="n">
        <x:f>IF(G315&lt;=0,0,P315/G315)</x:f>
        <x:v>0.010422639397188904</x:v>
      </x:c>
    </x:row>
    <x:row r="316">
      <x:c r="A316" s="56" t="str">
        <x:v>EMP027</x:v>
      </x:c>
      <x:c r="B316" s="56" t="str">
        <x:v>Dylan Campbell</x:v>
      </x:c>
      <x:c r="C316" s="56" t="str">
        <x:v>AE I</x:v>
      </x:c>
      <x:c r="D316" s="56" t="str">
        <x:v>2026-03</x:v>
      </x:c>
      <x:c r="E316" s="72" t="n">
        <x:v>85600</x:v>
      </x:c>
      <x:c r="F316" s="72" t="n">
        <x:v>86156.89000000001</x:v>
      </x:c>
      <x:c r="G316" s="72" t="n">
        <x:v>86156.89000000001</x:v>
      </x:c>
      <x:c r="H316" s="72" t="n">
        <x:v>0</x:v>
      </x:c>
      <x:c r="I316" s="56" t="n">
        <x:v>0</x:v>
      </x:c>
      <x:c r="J316" s="56" t="n">
        <x:v>0</x:v>
      </x:c>
      <x:c r="K316" s="68" t="n">
        <x:f>IF(E316&lt;=0,"",G316/E316)</x:f>
        <x:v>1.0065057242990656</x:v>
      </x:c>
      <x:c r="L316" t="str">
        <x:f>IF(K316="","Not Calculated",IF(K316&lt;0.8,"Below 80%",IF(K316&lt;1,"80%-99.99%",IF(K316&lt;1.1,"100%-109.99%",IF(K316&lt;1.75,"110%-174.99%","175%+ Review")))))</x:f>
        <x:v>100%-109.99%</x:v>
      </x:c>
      <x:c r="M316" s="56" t="str">
        <x:v>Ready for Commission Calculation</x:v>
      </x:c>
      <x:c r="N316" s="74" t="n">
        <x:f>IF(E316&lt;=0,0,MIN(G316,E316*0.8)*0.01+MAX(0,MIN(G316,E316)-E316*0.8)*0.02)</x:f>
        <x:v>1027.2</x:v>
      </x:c>
      <x:c r="O316" s="74" t="n">
        <x:f>IF(E316&lt;=0,0,MAX(0,MIN(G316,E316*1.1)-E316)*0.035+MAX(0,G316-E316*1.1)*0.05)</x:f>
        <x:v>19.49115000000049</x:v>
      </x:c>
      <x:c r="P316" s="74" t="n">
        <x:f>N316+O316</x:f>
        <x:v>1046.6911500000006</x:v>
      </x:c>
      <x:c r="Q316" s="76" t="n">
        <x:f>IF(G316&lt;=0,0,P316/G316)</x:f>
        <x:v>0.012148664488701952</x:v>
      </x:c>
    </x:row>
    <x:row r="317">
      <x:c r="A317" s="56" t="str">
        <x:v>EMP027</x:v>
      </x:c>
      <x:c r="B317" s="56" t="str">
        <x:v>Dylan Campbell</x:v>
      </x:c>
      <x:c r="C317" s="56" t="str">
        <x:v>AE I</x:v>
      </x:c>
      <x:c r="D317" s="56" t="str">
        <x:v>2026-04</x:v>
      </x:c>
      <x:c r="E317" s="72" t="n">
        <x:v>85600</x:v>
      </x:c>
      <x:c r="F317" s="72" t="n">
        <x:v>80232.41</x:v>
      </x:c>
      <x:c r="G317" s="72" t="n">
        <x:v>79558.98000000001</x:v>
      </x:c>
      <x:c r="H317" s="72" t="n">
        <x:v>673.4300000000001</x:v>
      </x:c>
      <x:c r="I317" s="56" t="n">
        <x:v>0</x:v>
      </x:c>
      <x:c r="J317" s="56" t="n">
        <x:v>0</x:v>
      </x:c>
      <x:c r="K317" s="68" t="n">
        <x:f>IF(E317&lt;=0,"",G317/E317)</x:f>
        <x:v>0.9294273364485982</x:v>
      </x:c>
      <x:c r="L317" t="str">
        <x:f>IF(K317="","Not Calculated",IF(K317&lt;0.8,"Below 80%",IF(K317&lt;1,"80%-99.99%",IF(K317&lt;1.1,"100%-109.99%",IF(K317&lt;1.75,"110%-174.99%","175%+ Review")))))</x:f>
        <x:v>80%-99.99%</x:v>
      </x:c>
      <x:c r="M317" s="56" t="str">
        <x:v>Ready for Commission Calculation</x:v>
      </x:c>
      <x:c r="N317" s="74" t="n">
        <x:f>IF(E317&lt;=0,0,MIN(G317,E317*0.8)*0.01+MAX(0,MIN(G317,E317)-E317*0.8)*0.02)</x:f>
        <x:v>906.3796000000003</x:v>
      </x:c>
      <x:c r="O317" s="74" t="n">
        <x:f>IF(E317&lt;=0,0,MAX(0,MIN(G317,E317*1.1)-E317)*0.035+MAX(0,G317-E317*1.1)*0.05)</x:f>
        <x:v>0</x:v>
      </x:c>
      <x:c r="P317" s="74" t="n">
        <x:f>N317+O317</x:f>
        <x:v>906.3796000000003</x:v>
      </x:c>
      <x:c r="Q317" s="76" t="n">
        <x:f>IF(G317&lt;=0,0,P317/G317)</x:f>
        <x:v>0.01139254927602139</x:v>
      </x:c>
    </x:row>
    <x:row r="318">
      <x:c r="A318" s="56" t="str">
        <x:v>EMP027</x:v>
      </x:c>
      <x:c r="B318" s="56" t="str">
        <x:v>Dylan Campbell</x:v>
      </x:c>
      <x:c r="C318" s="56" t="str">
        <x:v>AE I</x:v>
      </x:c>
      <x:c r="D318" s="56" t="str">
        <x:v>2026-05</x:v>
      </x:c>
      <x:c r="E318" s="72" t="n">
        <x:v>85600</x:v>
      </x:c>
      <x:c r="F318" s="72" t="n">
        <x:v>85438.58</x:v>
      </x:c>
      <x:c r="G318" s="72" t="n">
        <x:v>83802.51</x:v>
      </x:c>
      <x:c r="H318" s="72" t="n">
        <x:v>1636.07</x:v>
      </x:c>
      <x:c r="I318" s="56" t="n">
        <x:v>0</x:v>
      </x:c>
      <x:c r="J318" s="56" t="n">
        <x:v>0</x:v>
      </x:c>
      <x:c r="K318" s="68" t="n">
        <x:f>IF(E318&lt;=0,"",G318/E318)</x:f>
        <x:v>0.9790012850467289</x:v>
      </x:c>
      <x:c r="L318" t="str">
        <x:f>IF(K318="","Not Calculated",IF(K318&lt;0.8,"Below 80%",IF(K318&lt;1,"80%-99.99%",IF(K318&lt;1.1,"100%-109.99%",IF(K318&lt;1.75,"110%-174.99%","175%+ Review")))))</x:f>
        <x:v>80%-99.99%</x:v>
      </x:c>
      <x:c r="M318" s="56" t="str">
        <x:v>Ready for Commission Calculation</x:v>
      </x:c>
      <x:c r="N318" s="74" t="n">
        <x:f>IF(E318&lt;=0,0,MIN(G318,E318*0.8)*0.01+MAX(0,MIN(G318,E318)-E318*0.8)*0.02)</x:f>
        <x:v>991.2502</x:v>
      </x:c>
      <x:c r="O318" s="74" t="n">
        <x:f>IF(E318&lt;=0,0,MAX(0,MIN(G318,E318*1.1)-E318)*0.035+MAX(0,G318-E318*1.1)*0.05)</x:f>
        <x:v>0</x:v>
      </x:c>
      <x:c r="P318" s="74" t="n">
        <x:f>N318+O318</x:f>
        <x:v>991.2502</x:v>
      </x:c>
      <x:c r="Q318" s="76" t="n">
        <x:f>IF(G318&lt;=0,0,P318/G318)</x:f>
        <x:v>0.011828407048905814</x:v>
      </x:c>
    </x:row>
    <x:row r="319">
      <x:c r="A319" s="56" t="str">
        <x:v>EMP027</x:v>
      </x:c>
      <x:c r="B319" s="56" t="str">
        <x:v>Dylan Campbell</x:v>
      </x:c>
      <x:c r="C319" s="56" t="str">
        <x:v>AE I</x:v>
      </x:c>
      <x:c r="D319" s="56" t="str">
        <x:v>2026-06</x:v>
      </x:c>
      <x:c r="E319" s="72" t="n">
        <x:v>96300</x:v>
      </x:c>
      <x:c r="F319" s="72" t="n">
        <x:v>100443.99</x:v>
      </x:c>
      <x:c r="G319" s="72" t="n">
        <x:v>100292.60000000002</x:v>
      </x:c>
      <x:c r="H319" s="72" t="n">
        <x:v>151.39</x:v>
      </x:c>
      <x:c r="I319" s="56" t="n">
        <x:v>0</x:v>
      </x:c>
      <x:c r="J319" s="56" t="n">
        <x:v>0</x:v>
      </x:c>
      <x:c r="K319" s="68" t="n">
        <x:f>IF(E319&lt;=0,"",G319/E319)</x:f>
        <x:v>1.0414600207684321</x:v>
      </x:c>
      <x:c r="L319" t="str">
        <x:f>IF(K319="","Not Calculated",IF(K319&lt;0.8,"Below 80%",IF(K319&lt;1,"80%-99.99%",IF(K319&lt;1.1,"100%-109.99%",IF(K319&lt;1.75,"110%-174.99%","175%+ Review")))))</x:f>
        <x:v>100%-109.99%</x:v>
      </x:c>
      <x:c r="M319" s="56" t="str">
        <x:v>Ready for Commission Calculation</x:v>
      </x:c>
      <x:c r="N319" s="74" t="n">
        <x:f>IF(E319&lt;=0,0,MIN(G319,E319*0.8)*0.01+MAX(0,MIN(G319,E319)-E319*0.8)*0.02)</x:f>
        <x:v>1155.6</x:v>
      </x:c>
      <x:c r="O319" s="74" t="n">
        <x:f>IF(E319&lt;=0,0,MAX(0,MIN(G319,E319*1.1)-E319)*0.035+MAX(0,G319-E319*1.1)*0.05)</x:f>
        <x:v>139.74100000000072</x:v>
      </x:c>
      <x:c r="P319" s="74" t="n">
        <x:f>N319+O319</x:f>
        <x:v>1295.3410000000006</x:v>
      </x:c>
      <x:c r="Q319" s="76" t="n">
        <x:f>IF(G319&lt;=0,0,P319/G319)</x:f>
        <x:v>0.012915618899101233</x:v>
      </x:c>
    </x:row>
    <x:row r="320">
      <x:c r="A320" s="56" t="str">
        <x:v>EMP027</x:v>
      </x:c>
      <x:c r="B320" s="56" t="str">
        <x:v>Dylan Campbell</x:v>
      </x:c>
      <x:c r="C320" s="56" t="str">
        <x:v>AE I</x:v>
      </x:c>
      <x:c r="D320" s="56" t="str">
        <x:v>2026-07</x:v>
      </x:c>
      <x:c r="E320" s="72" t="n">
        <x:v>74900</x:v>
      </x:c>
      <x:c r="F320" s="72" t="n">
        <x:v>60697.439999999995</x:v>
      </x:c>
      <x:c r="G320" s="72" t="n">
        <x:v>60453.329999999994</x:v>
      </x:c>
      <x:c r="H320" s="72" t="n">
        <x:v>244.11</x:v>
      </x:c>
      <x:c r="I320" s="56" t="n">
        <x:v>0</x:v>
      </x:c>
      <x:c r="J320" s="56" t="n">
        <x:v>0</x:v>
      </x:c>
      <x:c r="K320" s="68" t="n">
        <x:f>IF(E320&lt;=0,"",G320/E320)</x:f>
        <x:v>0.8071205607476635</x:v>
      </x:c>
      <x:c r="L320" t="str">
        <x:f>IF(K320="","Not Calculated",IF(K320&lt;0.8,"Below 80%",IF(K320&lt;1,"80%-99.99%",IF(K320&lt;1.1,"100%-109.99%",IF(K320&lt;1.75,"110%-174.99%","175%+ Review")))))</x:f>
        <x:v>80%-99.99%</x:v>
      </x:c>
      <x:c r="M320" s="56" t="str">
        <x:v>Ready for Commission Calculation</x:v>
      </x:c>
      <x:c r="N320" s="74" t="n">
        <x:f>IF(E320&lt;=0,0,MIN(G320,E320*0.8)*0.01+MAX(0,MIN(G320,E320)-E320*0.8)*0.02)</x:f>
        <x:v>609.8666</x:v>
      </x:c>
      <x:c r="O320" s="74" t="n">
        <x:f>IF(E320&lt;=0,0,MAX(0,MIN(G320,E320*1.1)-E320)*0.035+MAX(0,G320-E320*1.1)*0.05)</x:f>
        <x:v>0</x:v>
      </x:c>
      <x:c r="P320" s="74" t="n">
        <x:f>N320+O320</x:f>
        <x:v>609.8666</x:v>
      </x:c>
      <x:c r="Q320" s="76" t="n">
        <x:f>IF(G320&lt;=0,0,P320/G320)</x:f>
        <x:v>0.010088221773721977</x:v>
      </x:c>
    </x:row>
    <x:row r="321">
      <x:c r="A321" s="56" t="str">
        <x:v>EMP027</x:v>
      </x:c>
      <x:c r="B321" s="56" t="str">
        <x:v>Dylan Campbell</x:v>
      </x:c>
      <x:c r="C321" s="56" t="str">
        <x:v>AE I</x:v>
      </x:c>
      <x:c r="D321" s="56" t="str">
        <x:v>2026-08</x:v>
      </x:c>
      <x:c r="E321" s="72" t="n">
        <x:v>74900</x:v>
      </x:c>
      <x:c r="F321" s="72" t="n">
        <x:v>68148.31999999999</x:v>
      </x:c>
      <x:c r="G321" s="72" t="n">
        <x:v>65982.37</x:v>
      </x:c>
      <x:c r="H321" s="72" t="n">
        <x:v>2165.95</x:v>
      </x:c>
      <x:c r="I321" s="56" t="n">
        <x:v>0</x:v>
      </x:c>
      <x:c r="J321" s="56" t="n">
        <x:v>0</x:v>
      </x:c>
      <x:c r="K321" s="68" t="n">
        <x:f>IF(E321&lt;=0,"",G321/E321)</x:f>
        <x:v>0.8809395193591455</x:v>
      </x:c>
      <x:c r="L321" t="str">
        <x:f>IF(K321="","Not Calculated",IF(K321&lt;0.8,"Below 80%",IF(K321&lt;1,"80%-99.99%",IF(K321&lt;1.1,"100%-109.99%",IF(K321&lt;1.75,"110%-174.99%","175%+ Review")))))</x:f>
        <x:v>80%-99.99%</x:v>
      </x:c>
      <x:c r="M321" s="56" t="str">
        <x:v>Ready for Commission Calculation</x:v>
      </x:c>
      <x:c r="N321" s="74" t="n">
        <x:f>IF(E321&lt;=0,0,MIN(G321,E321*0.8)*0.01+MAX(0,MIN(G321,E321)-E321*0.8)*0.02)</x:f>
        <x:v>720.4474</x:v>
      </x:c>
      <x:c r="O321" s="74" t="n">
        <x:f>IF(E321&lt;=0,0,MAX(0,MIN(G321,E321*1.1)-E321)*0.035+MAX(0,G321-E321*1.1)*0.05)</x:f>
        <x:v>0</x:v>
      </x:c>
      <x:c r="P321" s="74" t="n">
        <x:f>N321+O321</x:f>
        <x:v>720.4474</x:v>
      </x:c>
      <x:c r="Q321" s="76" t="n">
        <x:f>IF(G321&lt;=0,0,P321/G321)</x:f>
        <x:v>0.010918786336410772</x:v>
      </x:c>
    </x:row>
    <x:row r="322">
      <x:c r="A322" s="56" t="str">
        <x:v>EMP027</x:v>
      </x:c>
      <x:c r="B322" s="56" t="str">
        <x:v>Dylan Campbell</x:v>
      </x:c>
      <x:c r="C322" s="56" t="str">
        <x:v>AE I</x:v>
      </x:c>
      <x:c r="D322" s="56" t="str">
        <x:v>2026-09</x:v>
      </x:c>
      <x:c r="E322" s="72" t="n">
        <x:v>107000</x:v>
      </x:c>
      <x:c r="F322" s="72" t="n">
        <x:v>102636.17999999998</x:v>
      </x:c>
      <x:c r="G322" s="72" t="n">
        <x:v>102636.17999999998</x:v>
      </x:c>
      <x:c r="H322" s="72" t="n">
        <x:v>0</x:v>
      </x:c>
      <x:c r="I322" s="56" t="n">
        <x:v>0</x:v>
      </x:c>
      <x:c r="J322" s="56" t="n">
        <x:v>0</x:v>
      </x:c>
      <x:c r="K322" s="68" t="n">
        <x:f>IF(E322&lt;=0,"",G322/E322)</x:f>
        <x:v>0.9592166355140185</x:v>
      </x:c>
      <x:c r="L322" t="str">
        <x:f>IF(K322="","Not Calculated",IF(K322&lt;0.8,"Below 80%",IF(K322&lt;1,"80%-99.99%",IF(K322&lt;1.1,"100%-109.99%",IF(K322&lt;1.75,"110%-174.99%","175%+ Review")))))</x:f>
        <x:v>80%-99.99%</x:v>
      </x:c>
      <x:c r="M322" s="56" t="str">
        <x:v>Ready for Commission Calculation</x:v>
      </x:c>
      <x:c r="N322" s="74" t="n">
        <x:f>IF(E322&lt;=0,0,MIN(G322,E322*0.8)*0.01+MAX(0,MIN(G322,E322)-E322*0.8)*0.02)</x:f>
        <x:v>1196.7235999999996</x:v>
      </x:c>
      <x:c r="O322" s="74" t="n">
        <x:f>IF(E322&lt;=0,0,MAX(0,MIN(G322,E322*1.1)-E322)*0.035+MAX(0,G322-E322*1.1)*0.05)</x:f>
        <x:v>0</x:v>
      </x:c>
      <x:c r="P322" s="74" t="n">
        <x:f>N322+O322</x:f>
        <x:v>1196.7235999999996</x:v>
      </x:c>
      <x:c r="Q322" s="76" t="n">
        <x:f>IF(G322&lt;=0,0,P322/G322)</x:f>
        <x:v>0.011659861074330707</x:v>
      </x:c>
    </x:row>
    <x:row r="323">
      <x:c r="A323" s="56" t="str">
        <x:v>EMP027</x:v>
      </x:c>
      <x:c r="B323" s="56" t="str">
        <x:v>Dylan Campbell</x:v>
      </x:c>
      <x:c r="C323" s="56" t="str">
        <x:v>AE I</x:v>
      </x:c>
      <x:c r="D323" s="56" t="str">
        <x:v>2026-10</x:v>
      </x:c>
      <x:c r="E323" s="72" t="n">
        <x:v>107000</x:v>
      </x:c>
      <x:c r="F323" s="72" t="n">
        <x:v>86000.76000000001</x:v>
      </x:c>
      <x:c r="G323" s="72" t="n">
        <x:v>84605.33</x:v>
      </x:c>
      <x:c r="H323" s="72" t="n">
        <x:v>1395.43</x:v>
      </x:c>
      <x:c r="I323" s="56" t="n">
        <x:v>0</x:v>
      </x:c>
      <x:c r="J323" s="56" t="n">
        <x:v>0</x:v>
      </x:c>
      <x:c r="K323" s="68" t="n">
        <x:f>IF(E323&lt;=0,"",G323/E323)</x:f>
        <x:v>0.7907040186915888</x:v>
      </x:c>
      <x:c r="L323" t="str">
        <x:f>IF(K323="","Not Calculated",IF(K323&lt;0.8,"Below 80%",IF(K323&lt;1,"80%-99.99%",IF(K323&lt;1.1,"100%-109.99%",IF(K323&lt;1.75,"110%-174.99%","175%+ Review")))))</x:f>
        <x:v>Below 80%</x:v>
      </x:c>
      <x:c r="M323" s="56" t="str">
        <x:v>Ready for Commission Calculation</x:v>
      </x:c>
      <x:c r="N323" s="74" t="n">
        <x:f>IF(E323&lt;=0,0,MIN(G323,E323*0.8)*0.01+MAX(0,MIN(G323,E323)-E323*0.8)*0.02)</x:f>
        <x:v>846.0533</x:v>
      </x:c>
      <x:c r="O323" s="74" t="n">
        <x:f>IF(E323&lt;=0,0,MAX(0,MIN(G323,E323*1.1)-E323)*0.035+MAX(0,G323-E323*1.1)*0.05)</x:f>
        <x:v>0</x:v>
      </x:c>
      <x:c r="P323" s="74" t="n">
        <x:f>N323+O323</x:f>
        <x:v>846.0533</x:v>
      </x:c>
      <x:c r="Q323" s="76" t="n">
        <x:f>IF(G323&lt;=0,0,P323/G323)</x:f>
        <x:v>0.01</x:v>
      </x:c>
    </x:row>
    <x:row r="324">
      <x:c r="A324" s="56" t="str">
        <x:v>EMP027</x:v>
      </x:c>
      <x:c r="B324" s="56" t="str">
        <x:v>Dylan Campbell</x:v>
      </x:c>
      <x:c r="C324" s="56" t="str">
        <x:v>AE I</x:v>
      </x:c>
      <x:c r="D324" s="56" t="str">
        <x:v>2026-11</x:v>
      </x:c>
      <x:c r="E324" s="72" t="n">
        <x:v>96300</x:v>
      </x:c>
      <x:c r="F324" s="72" t="n">
        <x:v>88041.11</x:v>
      </x:c>
      <x:c r="G324" s="72" t="n">
        <x:v>88041.11</x:v>
      </x:c>
      <x:c r="H324" s="72" t="n">
        <x:v>0</x:v>
      </x:c>
      <x:c r="I324" s="56" t="n">
        <x:v>0</x:v>
      </x:c>
      <x:c r="J324" s="56" t="n">
        <x:v>0</x:v>
      </x:c>
      <x:c r="K324" s="68" t="n">
        <x:f>IF(E324&lt;=0,"",G324/E324)</x:f>
        <x:v>0.9142379023883697</x:v>
      </x:c>
      <x:c r="L324" t="str">
        <x:f>IF(K324="","Not Calculated",IF(K324&lt;0.8,"Below 80%",IF(K324&lt;1,"80%-99.99%",IF(K324&lt;1.1,"100%-109.99%",IF(K324&lt;1.75,"110%-174.99%","175%+ Review")))))</x:f>
        <x:v>80%-99.99%</x:v>
      </x:c>
      <x:c r="M324" s="56" t="str">
        <x:v>Ready for Commission Calculation</x:v>
      </x:c>
      <x:c r="N324" s="74" t="n">
        <x:f>IF(E324&lt;=0,0,MIN(G324,E324*0.8)*0.01+MAX(0,MIN(G324,E324)-E324*0.8)*0.02)</x:f>
        <x:v>990.4222</x:v>
      </x:c>
      <x:c r="O324" s="74" t="n">
        <x:f>IF(E324&lt;=0,0,MAX(0,MIN(G324,E324*1.1)-E324)*0.035+MAX(0,G324-E324*1.1)*0.05)</x:f>
        <x:v>0</x:v>
      </x:c>
      <x:c r="P324" s="74" t="n">
        <x:f>N324+O324</x:f>
        <x:v>990.4222</x:v>
      </x:c>
      <x:c r="Q324" s="76" t="n">
        <x:f>IF(G324&lt;=0,0,P324/G324)</x:f>
        <x:v>0.011249542401271406</x:v>
      </x:c>
    </x:row>
    <x:row r="325">
      <x:c r="A325" s="56" t="str">
        <x:v>EMP027</x:v>
      </x:c>
      <x:c r="B325" s="56" t="str">
        <x:v>Dylan Campbell</x:v>
      </x:c>
      <x:c r="C325" s="56" t="str">
        <x:v>AE I</x:v>
      </x:c>
      <x:c r="D325" s="56" t="str">
        <x:v>2026-12</x:v>
      </x:c>
      <x:c r="E325" s="72" t="n">
        <x:v>107000</x:v>
      </x:c>
      <x:c r="F325" s="72" t="n">
        <x:v>106915.56999999998</x:v>
      </x:c>
      <x:c r="G325" s="72" t="n">
        <x:v>106725.15999999997</x:v>
      </x:c>
      <x:c r="H325" s="72" t="n">
        <x:v>190.41</x:v>
      </x:c>
      <x:c r="I325" s="56" t="n">
        <x:v>0</x:v>
      </x:c>
      <x:c r="J325" s="56" t="n">
        <x:v>0</x:v>
      </x:c>
      <x:c r="K325" s="68" t="n">
        <x:f>IF(E325&lt;=0,"",G325/E325)</x:f>
        <x:v>0.9974314018691587</x:v>
      </x:c>
      <x:c r="L325" t="str">
        <x:f>IF(K325="","Not Calculated",IF(K325&lt;0.8,"Below 80%",IF(K325&lt;1,"80%-99.99%",IF(K325&lt;1.1,"100%-109.99%",IF(K325&lt;1.75,"110%-174.99%","175%+ Review")))))</x:f>
        <x:v>80%-99.99%</x:v>
      </x:c>
      <x:c r="M325" s="56" t="str">
        <x:v>Ready for Commission Calculation</x:v>
      </x:c>
      <x:c r="N325" s="74" t="n">
        <x:f>IF(E325&lt;=0,0,MIN(G325,E325*0.8)*0.01+MAX(0,MIN(G325,E325)-E325*0.8)*0.02)</x:f>
        <x:v>1278.5031999999994</x:v>
      </x:c>
      <x:c r="O325" s="74" t="n">
        <x:f>IF(E325&lt;=0,0,MAX(0,MIN(G325,E325*1.1)-E325)*0.035+MAX(0,G325-E325*1.1)*0.05)</x:f>
        <x:v>0</x:v>
      </x:c>
      <x:c r="P325" s="74" t="n">
        <x:f>N325+O325</x:f>
        <x:v>1278.5031999999994</x:v>
      </x:c>
      <x:c r="Q325" s="76" t="n">
        <x:f>IF(G325&lt;=0,0,P325/G325)</x:f>
        <x:v>0.01197939829745863</x:v>
      </x:c>
    </x:row>
    <x:row r="326">
      <x:c r="A326" s="56" t="str">
        <x:v>EMP028</x:v>
      </x:c>
      <x:c r="B326" s="56" t="str">
        <x:v>Hannah Li</x:v>
      </x:c>
      <x:c r="C326" s="56" t="str">
        <x:v>AE I</x:v>
      </x:c>
      <x:c r="D326" s="56" t="str">
        <x:v>2026-01</x:v>
      </x:c>
      <x:c r="E326" s="72" t="n">
        <x:v>66500</x:v>
      </x:c>
      <x:c r="F326" s="72" t="n">
        <x:v>68727.65</x:v>
      </x:c>
      <x:c r="G326" s="72" t="n">
        <x:v>68727.65</x:v>
      </x:c>
      <x:c r="H326" s="72" t="n">
        <x:v>0</x:v>
      </x:c>
      <x:c r="I326" s="56" t="n">
        <x:v>0</x:v>
      </x:c>
      <x:c r="J326" s="56" t="n">
        <x:v>0</x:v>
      </x:c>
      <x:c r="K326" s="68" t="n">
        <x:f>IF(E326&lt;=0,"",G326/E326)</x:f>
        <x:v>1.0334984962406013</x:v>
      </x:c>
      <x:c r="L326" t="str">
        <x:f>IF(K326="","Not Calculated",IF(K326&lt;0.8,"Below 80%",IF(K326&lt;1,"80%-99.99%",IF(K326&lt;1.1,"100%-109.99%",IF(K326&lt;1.75,"110%-174.99%","175%+ Review")))))</x:f>
        <x:v>100%-109.99%</x:v>
      </x:c>
      <x:c r="M326" s="56" t="str">
        <x:v>Ready for Commission Calculation</x:v>
      </x:c>
      <x:c r="N326" s="74" t="n">
        <x:f>IF(E326&lt;=0,0,MIN(G326,E326*0.8)*0.01+MAX(0,MIN(G326,E326)-E326*0.8)*0.02)</x:f>
        <x:v>798</x:v>
      </x:c>
      <x:c r="O326" s="74" t="n">
        <x:f>IF(E326&lt;=0,0,MAX(0,MIN(G326,E326*1.1)-E326)*0.035+MAX(0,G326-E326*1.1)*0.05)</x:f>
        <x:v>77.96774999999981</x:v>
      </x:c>
      <x:c r="P326" s="74" t="n">
        <x:f>N326+O326</x:f>
        <x:v>875.9677499999998</x:v>
      </x:c>
      <x:c r="Q326" s="76" t="n">
        <x:f>IF(G326&lt;=0,0,P326/G326)</x:f>
        <x:v>0.012745492534663994</x:v>
      </x:c>
    </x:row>
    <x:row r="327">
      <x:c r="A327" s="56" t="str">
        <x:v>EMP028</x:v>
      </x:c>
      <x:c r="B327" s="56" t="str">
        <x:v>Hannah Li</x:v>
      </x:c>
      <x:c r="C327" s="56" t="str">
        <x:v>AE I</x:v>
      </x:c>
      <x:c r="D327" s="56" t="str">
        <x:v>2026-02</x:v>
      </x:c>
      <x:c r="E327" s="72" t="n">
        <x:v>66500</x:v>
      </x:c>
      <x:c r="F327" s="72" t="n">
        <x:v>69082.74</x:v>
      </x:c>
      <x:c r="G327" s="72" t="n">
        <x:v>66744.32</x:v>
      </x:c>
      <x:c r="H327" s="72" t="n">
        <x:v>2338.42</x:v>
      </x:c>
      <x:c r="I327" s="56" t="n">
        <x:v>0</x:v>
      </x:c>
      <x:c r="J327" s="56" t="n">
        <x:v>0</x:v>
      </x:c>
      <x:c r="K327" s="68" t="n">
        <x:f>IF(E327&lt;=0,"",G327/E327)</x:f>
        <x:v>1.0036739849624061</x:v>
      </x:c>
      <x:c r="L327" t="str">
        <x:f>IF(K327="","Not Calculated",IF(K327&lt;0.8,"Below 80%",IF(K327&lt;1,"80%-99.99%",IF(K327&lt;1.1,"100%-109.99%",IF(K327&lt;1.75,"110%-174.99%","175%+ Review")))))</x:f>
        <x:v>100%-109.99%</x:v>
      </x:c>
      <x:c r="M327" s="56" t="str">
        <x:v>Ready for Commission Calculation</x:v>
      </x:c>
      <x:c r="N327" s="74" t="n">
        <x:f>IF(E327&lt;=0,0,MIN(G327,E327*0.8)*0.01+MAX(0,MIN(G327,E327)-E327*0.8)*0.02)</x:f>
        <x:v>798</x:v>
      </x:c>
      <x:c r="O327" s="74" t="n">
        <x:f>IF(E327&lt;=0,0,MAX(0,MIN(G327,E327*1.1)-E327)*0.035+MAX(0,G327-E327*1.1)*0.05)</x:f>
        <x:v>8.551200000000245</x:v>
      </x:c>
      <x:c r="P327" s="74" t="n">
        <x:f>N327+O327</x:f>
        <x:v>806.5512000000002</x:v>
      </x:c>
      <x:c r="Q327" s="76" t="n">
        <x:f>IF(G327&lt;=0,0,P327/G327)</x:f>
        <x:v>0.01208419233277079</x:v>
      </x:c>
    </x:row>
    <x:row r="328">
      <x:c r="A328" s="56" t="str">
        <x:v>EMP028</x:v>
      </x:c>
      <x:c r="B328" s="56" t="str">
        <x:v>Hannah Li</x:v>
      </x:c>
      <x:c r="C328" s="56" t="str">
        <x:v>AE I</x:v>
      </x:c>
      <x:c r="D328" s="56" t="str">
        <x:v>2026-03</x:v>
      </x:c>
      <x:c r="E328" s="72" t="n">
        <x:v>76000</x:v>
      </x:c>
      <x:c r="F328" s="72" t="n">
        <x:v>95714.38999999998</x:v>
      </x:c>
      <x:c r="G328" s="72" t="n">
        <x:v>94645.48999999999</x:v>
      </x:c>
      <x:c r="H328" s="72" t="n">
        <x:v>1068.9</x:v>
      </x:c>
      <x:c r="I328" s="56" t="n">
        <x:v>0</x:v>
      </x:c>
      <x:c r="J328" s="56" t="n">
        <x:v>0</x:v>
      </x:c>
      <x:c r="K328" s="68" t="n">
        <x:f>IF(E328&lt;=0,"",G328/E328)</x:f>
        <x:v>1.245335394736842</x:v>
      </x:c>
      <x:c r="L328" t="str">
        <x:f>IF(K328="","Not Calculated",IF(K328&lt;0.8,"Below 80%",IF(K328&lt;1,"80%-99.99%",IF(K328&lt;1.1,"100%-109.99%",IF(K328&lt;1.75,"110%-174.99%","175%+ Review")))))</x:f>
        <x:v>110%-174.99%</x:v>
      </x:c>
      <x:c r="M328" s="56" t="str">
        <x:v>Ready for Commission Calculation</x:v>
      </x:c>
      <x:c r="N328" s="74" t="n">
        <x:f>IF(E328&lt;=0,0,MIN(G328,E328*0.8)*0.01+MAX(0,MIN(G328,E328)-E328*0.8)*0.02)</x:f>
        <x:v>912</x:v>
      </x:c>
      <x:c r="O328" s="74" t="n">
        <x:f>IF(E328&lt;=0,0,MAX(0,MIN(G328,E328*1.1)-E328)*0.035+MAX(0,G328-E328*1.1)*0.05)</x:f>
        <x:v>818.2744999999995</x:v>
      </x:c>
      <x:c r="P328" s="74" t="n">
        <x:f>N328+O328</x:f>
        <x:v>1730.2744999999995</x:v>
      </x:c>
      <x:c r="Q328" s="76" t="n">
        <x:f>IF(G328&lt;=0,0,P328/G328)</x:f>
        <x:v>0.01828163708592982</x:v>
      </x:c>
    </x:row>
    <x:row r="329">
      <x:c r="A329" s="56" t="str">
        <x:v>EMP028</x:v>
      </x:c>
      <x:c r="B329" s="56" t="str">
        <x:v>Hannah Li</x:v>
      </x:c>
      <x:c r="C329" s="56" t="str">
        <x:v>AE I</x:v>
      </x:c>
      <x:c r="D329" s="56" t="str">
        <x:v>2026-04</x:v>
      </x:c>
      <x:c r="E329" s="72" t="n">
        <x:v>76000</x:v>
      </x:c>
      <x:c r="F329" s="72" t="n">
        <x:v>88871.25000000001</x:v>
      </x:c>
      <x:c r="G329" s="72" t="n">
        <x:v>88616.53000000001</x:v>
      </x:c>
      <x:c r="H329" s="72" t="n">
        <x:v>254.72</x:v>
      </x:c>
      <x:c r="I329" s="56" t="n">
        <x:v>0</x:v>
      </x:c>
      <x:c r="J329" s="56" t="n">
        <x:v>0</x:v>
      </x:c>
      <x:c r="K329" s="68" t="n">
        <x:f>IF(E329&lt;=0,"",G329/E329)</x:f>
        <x:v>1.1660069736842107</x:v>
      </x:c>
      <x:c r="L329" t="str">
        <x:f>IF(K329="","Not Calculated",IF(K329&lt;0.8,"Below 80%",IF(K329&lt;1,"80%-99.99%",IF(K329&lt;1.1,"100%-109.99%",IF(K329&lt;1.75,"110%-174.99%","175%+ Review")))))</x:f>
        <x:v>110%-174.99%</x:v>
      </x:c>
      <x:c r="M329" s="56" t="str">
        <x:v>Ready for Commission Calculation</x:v>
      </x:c>
      <x:c r="N329" s="74" t="n">
        <x:f>IF(E329&lt;=0,0,MIN(G329,E329*0.8)*0.01+MAX(0,MIN(G329,E329)-E329*0.8)*0.02)</x:f>
        <x:v>912</x:v>
      </x:c>
      <x:c r="O329" s="74" t="n">
        <x:f>IF(E329&lt;=0,0,MAX(0,MIN(G329,E329*1.1)-E329)*0.035+MAX(0,G329-E329*1.1)*0.05)</x:f>
        <x:v>516.8265000000007</x:v>
      </x:c>
      <x:c r="P329" s="74" t="n">
        <x:f>N329+O329</x:f>
        <x:v>1428.8265000000006</x:v>
      </x:c>
      <x:c r="Q329" s="76" t="n">
        <x:f>IF(G329&lt;=0,0,P329/G329)</x:f>
        <x:v>0.016123701751806354</x:v>
      </x:c>
    </x:row>
    <x:row r="330">
      <x:c r="A330" s="56" t="str">
        <x:v>EMP028</x:v>
      </x:c>
      <x:c r="B330" s="56" t="str">
        <x:v>Hannah Li</x:v>
      </x:c>
      <x:c r="C330" s="56" t="str">
        <x:v>AE I</x:v>
      </x:c>
      <x:c r="D330" s="56" t="str">
        <x:v>2026-05</x:v>
      </x:c>
      <x:c r="E330" s="72" t="n">
        <x:v>76000</x:v>
      </x:c>
      <x:c r="F330" s="72" t="n">
        <x:v>92398.51</x:v>
      </x:c>
      <x:c r="G330" s="72" t="n">
        <x:v>92398.51</x:v>
      </x:c>
      <x:c r="H330" s="72" t="n">
        <x:v>0</x:v>
      </x:c>
      <x:c r="I330" s="56" t="n">
        <x:v>0</x:v>
      </x:c>
      <x:c r="J330" s="56" t="n">
        <x:v>0</x:v>
      </x:c>
      <x:c r="K330" s="68" t="n">
        <x:f>IF(E330&lt;=0,"",G330/E330)</x:f>
        <x:v>1.2157698684210525</x:v>
      </x:c>
      <x:c r="L330" t="str">
        <x:f>IF(K330="","Not Calculated",IF(K330&lt;0.8,"Below 80%",IF(K330&lt;1,"80%-99.99%",IF(K330&lt;1.1,"100%-109.99%",IF(K330&lt;1.75,"110%-174.99%","175%+ Review")))))</x:f>
        <x:v>110%-174.99%</x:v>
      </x:c>
      <x:c r="M330" s="56" t="str">
        <x:v>Ready for Commission Calculation</x:v>
      </x:c>
      <x:c r="N330" s="74" t="n">
        <x:f>IF(E330&lt;=0,0,MIN(G330,E330*0.8)*0.01+MAX(0,MIN(G330,E330)-E330*0.8)*0.02)</x:f>
        <x:v>912</x:v>
      </x:c>
      <x:c r="O330" s="74" t="n">
        <x:f>IF(E330&lt;=0,0,MAX(0,MIN(G330,E330*1.1)-E330)*0.035+MAX(0,G330-E330*1.1)*0.05)</x:f>
        <x:v>705.9254999999998</x:v>
      </x:c>
      <x:c r="P330" s="74" t="n">
        <x:f>N330+O330</x:f>
        <x:v>1617.9254999999998</x:v>
      </x:c>
      <x:c r="Q330" s="76" t="n">
        <x:f>IF(G330&lt;=0,0,P330/G330)</x:f>
        <x:v>0.017510298596806376</x:v>
      </x:c>
    </x:row>
    <x:row r="331">
      <x:c r="A331" s="56" t="str">
        <x:v>EMP028</x:v>
      </x:c>
      <x:c r="B331" s="56" t="str">
        <x:v>Hannah Li</x:v>
      </x:c>
      <x:c r="C331" s="56" t="str">
        <x:v>AE I</x:v>
      </x:c>
      <x:c r="D331" s="56" t="str">
        <x:v>2026-06</x:v>
      </x:c>
      <x:c r="E331" s="72" t="n">
        <x:v>85500</x:v>
      </x:c>
      <x:c r="F331" s="72" t="n">
        <x:v>98292.24</x:v>
      </x:c>
      <x:c r="G331" s="72" t="n">
        <x:v>96613.82</x:v>
      </x:c>
      <x:c r="H331" s="72" t="n">
        <x:v>1678.42</x:v>
      </x:c>
      <x:c r="I331" s="56" t="n">
        <x:v>0</x:v>
      </x:c>
      <x:c r="J331" s="56" t="n">
        <x:v>0</x:v>
      </x:c>
      <x:c r="K331" s="68" t="n">
        <x:f>IF(E331&lt;=0,"",G331/E331)</x:f>
        <x:v>1.1299861988304094</x:v>
      </x:c>
      <x:c r="L331" t="str">
        <x:f>IF(K331="","Not Calculated",IF(K331&lt;0.8,"Below 80%",IF(K331&lt;1,"80%-99.99%",IF(K331&lt;1.1,"100%-109.99%",IF(K331&lt;1.75,"110%-174.99%","175%+ Review")))))</x:f>
        <x:v>110%-174.99%</x:v>
      </x:c>
      <x:c r="M331" s="56" t="str">
        <x:v>Ready for Commission Calculation</x:v>
      </x:c>
      <x:c r="N331" s="74" t="n">
        <x:f>IF(E331&lt;=0,0,MIN(G331,E331*0.8)*0.01+MAX(0,MIN(G331,E331)-E331*0.8)*0.02)</x:f>
        <x:v>1026</x:v>
      </x:c>
      <x:c r="O331" s="74" t="n">
        <x:f>IF(E331&lt;=0,0,MAX(0,MIN(G331,E331*1.1)-E331)*0.035+MAX(0,G331-E331*1.1)*0.05)</x:f>
        <x:v>427.44100000000014</x:v>
      </x:c>
      <x:c r="P331" s="74" t="n">
        <x:f>N331+O331</x:f>
        <x:v>1453.4410000000003</x:v>
      </x:c>
      <x:c r="Q331" s="76" t="n">
        <x:f>IF(G331&lt;=0,0,P331/G331)</x:f>
        <x:v>0.015043820852958719</x:v>
      </x:c>
    </x:row>
    <x:row r="332">
      <x:c r="A332" s="56" t="str">
        <x:v>EMP028</x:v>
      </x:c>
      <x:c r="B332" s="56" t="str">
        <x:v>Hannah Li</x:v>
      </x:c>
      <x:c r="C332" s="56" t="str">
        <x:v>AE I</x:v>
      </x:c>
      <x:c r="D332" s="56" t="str">
        <x:v>2026-07</x:v>
      </x:c>
      <x:c r="E332" s="72" t="n">
        <x:v>66500</x:v>
      </x:c>
      <x:c r="F332" s="72" t="n">
        <x:v>82832.19999999998</x:v>
      </x:c>
      <x:c r="G332" s="72" t="n">
        <x:v>82832.19999999998</x:v>
      </x:c>
      <x:c r="H332" s="72" t="n">
        <x:v>0</x:v>
      </x:c>
      <x:c r="I332" s="56" t="n">
        <x:v>0</x:v>
      </x:c>
      <x:c r="J332" s="56" t="n">
        <x:v>0</x:v>
      </x:c>
      <x:c r="K332" s="68" t="n">
        <x:f>IF(E332&lt;=0,"",G332/E332)</x:f>
        <x:v>1.2455969924812027</x:v>
      </x:c>
      <x:c r="L332" t="str">
        <x:f>IF(K332="","Not Calculated",IF(K332&lt;0.8,"Below 80%",IF(K332&lt;1,"80%-99.99%",IF(K332&lt;1.1,"100%-109.99%",IF(K332&lt;1.75,"110%-174.99%","175%+ Review")))))</x:f>
        <x:v>110%-174.99%</x:v>
      </x:c>
      <x:c r="M332" s="56" t="str">
        <x:v>Ready for Commission Calculation</x:v>
      </x:c>
      <x:c r="N332" s="74" t="n">
        <x:f>IF(E332&lt;=0,0,MIN(G332,E332*0.8)*0.01+MAX(0,MIN(G332,E332)-E332*0.8)*0.02)</x:f>
        <x:v>798</x:v>
      </x:c>
      <x:c r="O332" s="74" t="n">
        <x:f>IF(E332&lt;=0,0,MAX(0,MIN(G332,E332*1.1)-E332)*0.035+MAX(0,G332-E332*1.1)*0.05)</x:f>
        <x:v>716.8599999999992</x:v>
      </x:c>
      <x:c r="P332" s="74" t="n">
        <x:f>N332+O332</x:f>
        <x:v>1514.8599999999992</x:v>
      </x:c>
      <x:c r="Q332" s="76" t="n">
        <x:f>IF(G332&lt;=0,0,P332/G332)</x:f>
        <x:v>0.018288298511931346</x:v>
      </x:c>
    </x:row>
    <x:row r="333">
      <x:c r="A333" s="56" t="str">
        <x:v>EMP028</x:v>
      </x:c>
      <x:c r="B333" s="56" t="str">
        <x:v>Hannah Li</x:v>
      </x:c>
      <x:c r="C333" s="56" t="str">
        <x:v>AE I</x:v>
      </x:c>
      <x:c r="D333" s="56" t="str">
        <x:v>2026-08</x:v>
      </x:c>
      <x:c r="E333" s="72" t="n">
        <x:v>66500</x:v>
      </x:c>
      <x:c r="F333" s="72" t="n">
        <x:v>84073.98999999999</x:v>
      </x:c>
      <x:c r="G333" s="72" t="n">
        <x:v>83989.89</x:v>
      </x:c>
      <x:c r="H333" s="72" t="n">
        <x:v>84.1</x:v>
      </x:c>
      <x:c r="I333" s="56" t="n">
        <x:v>0</x:v>
      </x:c>
      <x:c r="J333" s="56" t="n">
        <x:v>0</x:v>
      </x:c>
      <x:c r="K333" s="68" t="n">
        <x:f>IF(E333&lt;=0,"",G333/E333)</x:f>
        <x:v>1.2630058646616542</x:v>
      </x:c>
      <x:c r="L333" t="str">
        <x:f>IF(K333="","Not Calculated",IF(K333&lt;0.8,"Below 80%",IF(K333&lt;1,"80%-99.99%",IF(K333&lt;1.1,"100%-109.99%",IF(K333&lt;1.75,"110%-174.99%","175%+ Review")))))</x:f>
        <x:v>110%-174.99%</x:v>
      </x:c>
      <x:c r="M333" s="56" t="str">
        <x:v>Ready for Commission Calculation</x:v>
      </x:c>
      <x:c r="N333" s="74" t="n">
        <x:f>IF(E333&lt;=0,0,MIN(G333,E333*0.8)*0.01+MAX(0,MIN(G333,E333)-E333*0.8)*0.02)</x:f>
        <x:v>798</x:v>
      </x:c>
      <x:c r="O333" s="74" t="n">
        <x:f>IF(E333&lt;=0,0,MAX(0,MIN(G333,E333*1.1)-E333)*0.035+MAX(0,G333-E333*1.1)*0.05)</x:f>
        <x:v>774.7445</x:v>
      </x:c>
      <x:c r="P333" s="74" t="n">
        <x:f>N333+O333</x:f>
        <x:v>1572.7445</x:v>
      </x:c>
      <x:c r="Q333" s="76" t="n">
        <x:f>IF(G333&lt;=0,0,P333/G333)</x:f>
        <x:v>0.018725402545473033</x:v>
      </x:c>
    </x:row>
    <x:row r="334">
      <x:c r="A334" s="56" t="str">
        <x:v>EMP028</x:v>
      </x:c>
      <x:c r="B334" s="56" t="str">
        <x:v>Hannah Li</x:v>
      </x:c>
      <x:c r="C334" s="56" t="str">
        <x:v>AE I</x:v>
      </x:c>
      <x:c r="D334" s="56" t="str">
        <x:v>2026-09</x:v>
      </x:c>
      <x:c r="E334" s="72" t="n">
        <x:v>95000</x:v>
      </x:c>
      <x:c r="F334" s="72" t="n">
        <x:v>109326.36000000002</x:v>
      </x:c>
      <x:c r="G334" s="72" t="n">
        <x:v>108825.63</x:v>
      </x:c>
      <x:c r="H334" s="72" t="n">
        <x:v>500.73</x:v>
      </x:c>
      <x:c r="I334" s="56" t="n">
        <x:v>0</x:v>
      </x:c>
      <x:c r="J334" s="56" t="n">
        <x:v>0</x:v>
      </x:c>
      <x:c r="K334" s="68" t="n">
        <x:f>IF(E334&lt;=0,"",G334/E334)</x:f>
        <x:v>1.145532947368421</x:v>
      </x:c>
      <x:c r="L334" t="str">
        <x:f>IF(K334="","Not Calculated",IF(K334&lt;0.8,"Below 80%",IF(K334&lt;1,"80%-99.99%",IF(K334&lt;1.1,"100%-109.99%",IF(K334&lt;1.75,"110%-174.99%","175%+ Review")))))</x:f>
        <x:v>110%-174.99%</x:v>
      </x:c>
      <x:c r="M334" s="56" t="str">
        <x:v>Ready for Commission Calculation</x:v>
      </x:c>
      <x:c r="N334" s="74" t="n">
        <x:f>IF(E334&lt;=0,0,MIN(G334,E334*0.8)*0.01+MAX(0,MIN(G334,E334)-E334*0.8)*0.02)</x:f>
        <x:v>1140</x:v>
      </x:c>
      <x:c r="O334" s="74" t="n">
        <x:f>IF(E334&lt;=0,0,MAX(0,MIN(G334,E334*1.1)-E334)*0.035+MAX(0,G334-E334*1.1)*0.05)</x:f>
        <x:v>548.7815</x:v>
      </x:c>
      <x:c r="P334" s="74" t="n">
        <x:f>N334+O334</x:f>
        <x:v>1688.7815</x:v>
      </x:c>
      <x:c r="Q334" s="76" t="n">
        <x:f>IF(G334&lt;=0,0,P334/G334)</x:f>
        <x:v>0.015518233158861566</x:v>
      </x:c>
    </x:row>
    <x:row r="335">
      <x:c r="A335" s="56" t="str">
        <x:v>EMP028</x:v>
      </x:c>
      <x:c r="B335" s="56" t="str">
        <x:v>Hannah Li</x:v>
      </x:c>
      <x:c r="C335" s="56" t="str">
        <x:v>AE I</x:v>
      </x:c>
      <x:c r="D335" s="56" t="str">
        <x:v>2026-10</x:v>
      </x:c>
      <x:c r="E335" s="72" t="n">
        <x:v>95000</x:v>
      </x:c>
      <x:c r="F335" s="72" t="n">
        <x:v>104742.94</x:v>
      </x:c>
      <x:c r="G335" s="72" t="n">
        <x:v>104567.93</x:v>
      </x:c>
      <x:c r="H335" s="72" t="n">
        <x:v>175.01</x:v>
      </x:c>
      <x:c r="I335" s="56" t="n">
        <x:v>0</x:v>
      </x:c>
      <x:c r="J335" s="56" t="n">
        <x:v>0</x:v>
      </x:c>
      <x:c r="K335" s="68" t="n">
        <x:f>IF(E335&lt;=0,"",G335/E335)</x:f>
        <x:v>1.100715052631579</x:v>
      </x:c>
      <x:c r="L335" t="str">
        <x:f>IF(K335="","Not Calculated",IF(K335&lt;0.8,"Below 80%",IF(K335&lt;1,"80%-99.99%",IF(K335&lt;1.1,"100%-109.99%",IF(K335&lt;1.75,"110%-174.99%","175%+ Review")))))</x:f>
        <x:v>110%-174.99%</x:v>
      </x:c>
      <x:c r="M335" s="56" t="str">
        <x:v>Ready for Commission Calculation</x:v>
      </x:c>
      <x:c r="N335" s="74" t="n">
        <x:f>IF(E335&lt;=0,0,MIN(G335,E335*0.8)*0.01+MAX(0,MIN(G335,E335)-E335*0.8)*0.02)</x:f>
        <x:v>1140</x:v>
      </x:c>
      <x:c r="O335" s="74" t="n">
        <x:f>IF(E335&lt;=0,0,MAX(0,MIN(G335,E335*1.1)-E335)*0.035+MAX(0,G335-E335*1.1)*0.05)</x:f>
        <x:v>335.8964999999995</x:v>
      </x:c>
      <x:c r="P335" s="74" t="n">
        <x:f>N335+O335</x:f>
        <x:v>1475.8964999999994</x:v>
      </x:c>
      <x:c r="Q335" s="76" t="n">
        <x:f>IF(G335&lt;=0,0,P335/G335)</x:f>
        <x:v>0.01411423655417105</x:v>
      </x:c>
    </x:row>
    <x:row r="336">
      <x:c r="A336" s="56" t="str">
        <x:v>EMP028</x:v>
      </x:c>
      <x:c r="B336" s="56" t="str">
        <x:v>Hannah Li</x:v>
      </x:c>
      <x:c r="C336" s="56" t="str">
        <x:v>AE I</x:v>
      </x:c>
      <x:c r="D336" s="56" t="str">
        <x:v>2026-11</x:v>
      </x:c>
      <x:c r="E336" s="72" t="n">
        <x:v>85500</x:v>
      </x:c>
      <x:c r="F336" s="72" t="n">
        <x:v>90589.41999999997</x:v>
      </x:c>
      <x:c r="G336" s="72" t="n">
        <x:v>89644.45999999998</x:v>
      </x:c>
      <x:c r="H336" s="72" t="n">
        <x:v>944.96</x:v>
      </x:c>
      <x:c r="I336" s="56" t="n">
        <x:v>0</x:v>
      </x:c>
      <x:c r="J336" s="56" t="n">
        <x:v>0</x:v>
      </x:c>
      <x:c r="K336" s="68" t="n">
        <x:f>IF(E336&lt;=0,"",G336/E336)</x:f>
        <x:v>1.0484732163742687</x:v>
      </x:c>
      <x:c r="L336" t="str">
        <x:f>IF(K336="","Not Calculated",IF(K336&lt;0.8,"Below 80%",IF(K336&lt;1,"80%-99.99%",IF(K336&lt;1.1,"100%-109.99%",IF(K336&lt;1.75,"110%-174.99%","175%+ Review")))))</x:f>
        <x:v>100%-109.99%</x:v>
      </x:c>
      <x:c r="M336" s="56" t="str">
        <x:v>Ready for Commission Calculation</x:v>
      </x:c>
      <x:c r="N336" s="74" t="n">
        <x:f>IF(E336&lt;=0,0,MIN(G336,E336*0.8)*0.01+MAX(0,MIN(G336,E336)-E336*0.8)*0.02)</x:f>
        <x:v>1026</x:v>
      </x:c>
      <x:c r="O336" s="74" t="n">
        <x:f>IF(E336&lt;=0,0,MAX(0,MIN(G336,E336*1.1)-E336)*0.035+MAX(0,G336-E336*1.1)*0.05)</x:f>
        <x:v>145.05609999999922</x:v>
      </x:c>
      <x:c r="P336" s="74" t="n">
        <x:f>N336+O336</x:f>
        <x:v>1171.0560999999993</x:v>
      </x:c>
      <x:c r="Q336" s="76" t="n">
        <x:f>IF(G336&lt;=0,0,P336/G336)</x:f>
        <x:v>0.013063340445131797</x:v>
      </x:c>
    </x:row>
    <x:row r="337">
      <x:c r="A337" s="56" t="str">
        <x:v>EMP028</x:v>
      </x:c>
      <x:c r="B337" s="56" t="str">
        <x:v>Hannah Li</x:v>
      </x:c>
      <x:c r="C337" s="56" t="str">
        <x:v>AE I</x:v>
      </x:c>
      <x:c r="D337" s="56" t="str">
        <x:v>2026-12</x:v>
      </x:c>
      <x:c r="E337" s="72" t="n">
        <x:v>95000</x:v>
      </x:c>
      <x:c r="F337" s="72" t="n">
        <x:v>127875.67</x:v>
      </x:c>
      <x:c r="G337" s="72" t="n">
        <x:v>124082.81000000001</x:v>
      </x:c>
      <x:c r="H337" s="72" t="n">
        <x:v>0</x:v>
      </x:c>
      <x:c r="I337" s="56" t="n">
        <x:v>0</x:v>
      </x:c>
      <x:c r="J337" s="56" t="n">
        <x:v>2</x:v>
      </x:c>
      <x:c r="K337" s="68" t="n">
        <x:f>IF(E337&lt;=0,"",G337/E337)</x:f>
        <x:v>1.3061348421052632</x:v>
      </x:c>
      <x:c r="L337" t="str">
        <x:f>IF(K337="","Not Calculated",IF(K337&lt;0.8,"Below 80%",IF(K337&lt;1,"80%-99.99%",IF(K337&lt;1.1,"100%-109.99%",IF(K337&lt;1.75,"110%-174.99%","175%+ Review")))))</x:f>
        <x:v>110%-174.99%</x:v>
      </x:c>
      <x:c r="M337" s="56" t="str">
        <x:v>HOLD - Sales Credit</x:v>
      </x:c>
      <x:c r="N337" s="74" t="n">
        <x:f>IF(E337&lt;=0,0,MIN(G337,E337*0.8)*0.01+MAX(0,MIN(G337,E337)-E337*0.8)*0.02)</x:f>
        <x:v>1140</x:v>
      </x:c>
      <x:c r="O337" s="74" t="n">
        <x:f>IF(E337&lt;=0,0,MAX(0,MIN(G337,E337*1.1)-E337)*0.035+MAX(0,G337-E337*1.1)*0.05)</x:f>
        <x:v>1311.6405000000004</x:v>
      </x:c>
      <x:c r="P337" s="74" t="n">
        <x:f>N337+O337</x:f>
        <x:v>2451.6405000000004</x:v>
      </x:c>
      <x:c r="Q337" s="76" t="n">
        <x:f>IF(G337&lt;=0,0,P337/G337)</x:f>
        <x:v>0.01975809944987545</x:v>
      </x:c>
    </x:row>
    <x:row r="338">
      <x:c r="A338" s="56" t="str">
        <x:v>EMP029</x:v>
      </x:c>
      <x:c r="B338" s="56" t="str">
        <x:v>Maya Chen</x:v>
      </x:c>
      <x:c r="C338" s="56" t="str">
        <x:v>AE II</x:v>
      </x:c>
      <x:c r="D338" s="56" t="str">
        <x:v>2026-01</x:v>
      </x:c>
      <x:c r="E338" s="72" t="n">
        <x:v>85400.00000000001</x:v>
      </x:c>
      <x:c r="F338" s="72" t="n">
        <x:v>93310.45999999999</x:v>
      </x:c>
      <x:c r="G338" s="72" t="n">
        <x:v>93310.45999999999</x:v>
      </x:c>
      <x:c r="H338" s="72" t="n">
        <x:v>0</x:v>
      </x:c>
      <x:c r="I338" s="56" t="n">
        <x:v>0</x:v>
      </x:c>
      <x:c r="J338" s="56" t="n">
        <x:v>0</x:v>
      </x:c>
      <x:c r="K338" s="68" t="n">
        <x:f>IF(E338&lt;=0,"",G338/E338)</x:f>
        <x:v>1.0926283372365337</x:v>
      </x:c>
      <x:c r="L338" t="str">
        <x:f>IF(K338="","Not Calculated",IF(K338&lt;0.8,"Below 80%",IF(K338&lt;1,"80%-99.99%",IF(K338&lt;1.1,"100%-109.99%",IF(K338&lt;1.75,"110%-174.99%","175%+ Review")))))</x:f>
        <x:v>100%-109.99%</x:v>
      </x:c>
      <x:c r="M338" s="56" t="str">
        <x:v>Ready for Commission Calculation</x:v>
      </x:c>
      <x:c r="N338" s="74" t="n">
        <x:f>IF(E338&lt;=0,0,MIN(G338,E338*0.8)*0.01+MAX(0,MIN(G338,E338)-E338*0.8)*0.02)</x:f>
        <x:v>1024.8000000000002</x:v>
      </x:c>
      <x:c r="O338" s="74" t="n">
        <x:f>IF(E338&lt;=0,0,MAX(0,MIN(G338,E338*1.1)-E338)*0.035+MAX(0,G338-E338*1.1)*0.05)</x:f>
        <x:v>276.8660999999992</x:v>
      </x:c>
      <x:c r="P338" s="74" t="n">
        <x:f>N338+O338</x:f>
        <x:v>1301.6660999999995</x:v>
      </x:c>
      <x:c r="Q338" s="76" t="n">
        <x:f>IF(G338&lt;=0,0,P338/G338)</x:f>
        <x:v>0.013949841207513065</x:v>
      </x:c>
    </x:row>
    <x:row r="339">
      <x:c r="A339" s="56" t="str">
        <x:v>EMP029</x:v>
      </x:c>
      <x:c r="B339" s="56" t="str">
        <x:v>Maya Chen</x:v>
      </x:c>
      <x:c r="C339" s="56" t="str">
        <x:v>AE II</x:v>
      </x:c>
      <x:c r="D339" s="56" t="str">
        <x:v>2026-02</x:v>
      </x:c>
      <x:c r="E339" s="72" t="n">
        <x:v>85400.00000000001</x:v>
      </x:c>
      <x:c r="F339" s="72" t="n">
        <x:v>109446.20000000001</x:v>
      </x:c>
      <x:c r="G339" s="72" t="n">
        <x:v>109289.73000000001</x:v>
      </x:c>
      <x:c r="H339" s="72" t="n">
        <x:v>156.47</x:v>
      </x:c>
      <x:c r="I339" s="56" t="n">
        <x:v>0</x:v>
      </x:c>
      <x:c r="J339" s="56" t="n">
        <x:v>0</x:v>
      </x:c>
      <x:c r="K339" s="68" t="n">
        <x:f>IF(E339&lt;=0,"",G339/E339)</x:f>
        <x:v>1.2797392271662762</x:v>
      </x:c>
      <x:c r="L339" t="str">
        <x:f>IF(K339="","Not Calculated",IF(K339&lt;0.8,"Below 80%",IF(K339&lt;1,"80%-99.99%",IF(K339&lt;1.1,"100%-109.99%",IF(K339&lt;1.75,"110%-174.99%","175%+ Review")))))</x:f>
        <x:v>110%-174.99%</x:v>
      </x:c>
      <x:c r="M339" s="56" t="str">
        <x:v>Ready for Commission Calculation</x:v>
      </x:c>
      <x:c r="N339" s="74" t="n">
        <x:f>IF(E339&lt;=0,0,MIN(G339,E339*0.8)*0.01+MAX(0,MIN(G339,E339)-E339*0.8)*0.02)</x:f>
        <x:v>1024.8000000000002</x:v>
      </x:c>
      <x:c r="O339" s="74" t="n">
        <x:f>IF(E339&lt;=0,0,MAX(0,MIN(G339,E339*1.1)-E339)*0.035+MAX(0,G339-E339*1.1)*0.05)</x:f>
        <x:v>1066.3864999999996</x:v>
      </x:c>
      <x:c r="P339" s="74" t="n">
        <x:f>N339+O339</x:f>
        <x:v>2091.1865</x:v>
      </x:c>
      <x:c r="Q339" s="76" t="n">
        <x:f>IF(G339&lt;=0,0,P339/G339)</x:f>
        <x:v>0.019134336776200286</x:v>
      </x:c>
    </x:row>
    <x:row r="340">
      <x:c r="A340" s="56" t="str">
        <x:v>EMP029</x:v>
      </x:c>
      <x:c r="B340" s="56" t="str">
        <x:v>Maya Chen</x:v>
      </x:c>
      <x:c r="C340" s="56" t="str">
        <x:v>AE II</x:v>
      </x:c>
      <x:c r="D340" s="56" t="str">
        <x:v>2026-03</x:v>
      </x:c>
      <x:c r="E340" s="72" t="n">
        <x:v>97600</x:v>
      </x:c>
      <x:c r="F340" s="72" t="n">
        <x:v>118394.90000000001</x:v>
      </x:c>
      <x:c r="G340" s="72" t="n">
        <x:v>118394.90000000001</x:v>
      </x:c>
      <x:c r="H340" s="72" t="n">
        <x:v>0</x:v>
      </x:c>
      <x:c r="I340" s="56" t="n">
        <x:v>0</x:v>
      </x:c>
      <x:c r="J340" s="56" t="n">
        <x:v>0</x:v>
      </x:c>
      <x:c r="K340" s="68" t="n">
        <x:f>IF(E340&lt;=0,"",G340/E340)</x:f>
        <x:v>1.2130625000000002</x:v>
      </x:c>
      <x:c r="L340" t="str">
        <x:f>IF(K340="","Not Calculated",IF(K340&lt;0.8,"Below 80%",IF(K340&lt;1,"80%-99.99%",IF(K340&lt;1.1,"100%-109.99%",IF(K340&lt;1.75,"110%-174.99%","175%+ Review")))))</x:f>
        <x:v>110%-174.99%</x:v>
      </x:c>
      <x:c r="M340" s="56" t="str">
        <x:v>Ready for Commission Calculation</x:v>
      </x:c>
      <x:c r="N340" s="74" t="n">
        <x:f>IF(E340&lt;=0,0,MIN(G340,E340*0.8)*0.01+MAX(0,MIN(G340,E340)-E340*0.8)*0.02)</x:f>
        <x:v>1171.2</x:v>
      </x:c>
      <x:c r="O340" s="74" t="n">
        <x:f>IF(E340&lt;=0,0,MAX(0,MIN(G340,E340*1.1)-E340)*0.035+MAX(0,G340-E340*1.1)*0.05)</x:f>
        <x:v>893.3450000000003</x:v>
      </x:c>
      <x:c r="P340" s="74" t="n">
        <x:f>N340+O340</x:f>
        <x:v>2064.545</x:v>
      </x:c>
      <x:c r="Q340" s="76" t="n">
        <x:f>IF(G340&lt;=0,0,P340/G340)</x:f>
        <x:v>0.017437786593848214</x:v>
      </x:c>
    </x:row>
    <x:row r="341">
      <x:c r="A341" s="56" t="str">
        <x:v>EMP029</x:v>
      </x:c>
      <x:c r="B341" s="56" t="str">
        <x:v>Maya Chen</x:v>
      </x:c>
      <x:c r="C341" s="56" t="str">
        <x:v>AE II</x:v>
      </x:c>
      <x:c r="D341" s="56" t="str">
        <x:v>2026-04</x:v>
      </x:c>
      <x:c r="E341" s="72" t="n">
        <x:v>97600</x:v>
      </x:c>
      <x:c r="F341" s="72" t="n">
        <x:v>110519.65</x:v>
      </x:c>
      <x:c r="G341" s="72" t="n">
        <x:v>110519.65</x:v>
      </x:c>
      <x:c r="H341" s="72" t="n">
        <x:v>0</x:v>
      </x:c>
      <x:c r="I341" s="56" t="n">
        <x:v>0</x:v>
      </x:c>
      <x:c r="J341" s="56" t="n">
        <x:v>0</x:v>
      </x:c>
      <x:c r="K341" s="68" t="n">
        <x:f>IF(E341&lt;=0,"",G341/E341)</x:f>
        <x:v>1.132373463114754</x:v>
      </x:c>
      <x:c r="L341" t="str">
        <x:f>IF(K341="","Not Calculated",IF(K341&lt;0.8,"Below 80%",IF(K341&lt;1,"80%-99.99%",IF(K341&lt;1.1,"100%-109.99%",IF(K341&lt;1.75,"110%-174.99%","175%+ Review")))))</x:f>
        <x:v>110%-174.99%</x:v>
      </x:c>
      <x:c r="M341" s="56" t="str">
        <x:v>Ready for Commission Calculation</x:v>
      </x:c>
      <x:c r="N341" s="74" t="n">
        <x:f>IF(E341&lt;=0,0,MIN(G341,E341*0.8)*0.01+MAX(0,MIN(G341,E341)-E341*0.8)*0.02)</x:f>
        <x:v>1171.2</x:v>
      </x:c>
      <x:c r="O341" s="74" t="n">
        <x:f>IF(E341&lt;=0,0,MAX(0,MIN(G341,E341*1.1)-E341)*0.035+MAX(0,G341-E341*1.1)*0.05)</x:f>
        <x:v>499.5824999999995</x:v>
      </x:c>
      <x:c r="P341" s="74" t="n">
        <x:f>N341+O341</x:f>
        <x:v>1670.7824999999996</x:v>
      </x:c>
      <x:c r="Q341" s="76" t="n">
        <x:f>IF(G341&lt;=0,0,P341/G341)</x:f>
        <x:v>0.015117515301577589</x:v>
      </x:c>
    </x:row>
    <x:row r="342">
      <x:c r="A342" s="56" t="str">
        <x:v>EMP029</x:v>
      </x:c>
      <x:c r="B342" s="56" t="str">
        <x:v>Maya Chen</x:v>
      </x:c>
      <x:c r="C342" s="56" t="str">
        <x:v>AE II</x:v>
      </x:c>
      <x:c r="D342" s="56" t="str">
        <x:v>2026-05</x:v>
      </x:c>
      <x:c r="E342" s="72" t="n">
        <x:v>97600</x:v>
      </x:c>
      <x:c r="F342" s="72" t="n">
        <x:v>112669.83</x:v>
      </x:c>
      <x:c r="G342" s="72" t="n">
        <x:v>112669.83</x:v>
      </x:c>
      <x:c r="H342" s="72" t="n">
        <x:v>0</x:v>
      </x:c>
      <x:c r="I342" s="56" t="n">
        <x:v>0</x:v>
      </x:c>
      <x:c r="J342" s="56" t="n">
        <x:v>0</x:v>
      </x:c>
      <x:c r="K342" s="68" t="n">
        <x:f>IF(E342&lt;=0,"",G342/E342)</x:f>
        <x:v>1.1544039959016394</x:v>
      </x:c>
      <x:c r="L342" t="str">
        <x:f>IF(K342="","Not Calculated",IF(K342&lt;0.8,"Below 80%",IF(K342&lt;1,"80%-99.99%",IF(K342&lt;1.1,"100%-109.99%",IF(K342&lt;1.75,"110%-174.99%","175%+ Review")))))</x:f>
        <x:v>110%-174.99%</x:v>
      </x:c>
      <x:c r="M342" s="56" t="str">
        <x:v>Ready for Commission Calculation</x:v>
      </x:c>
      <x:c r="N342" s="74" t="n">
        <x:f>IF(E342&lt;=0,0,MIN(G342,E342*0.8)*0.01+MAX(0,MIN(G342,E342)-E342*0.8)*0.02)</x:f>
        <x:v>1171.2</x:v>
      </x:c>
      <x:c r="O342" s="74" t="n">
        <x:f>IF(E342&lt;=0,0,MAX(0,MIN(G342,E342*1.1)-E342)*0.035+MAX(0,G342-E342*1.1)*0.05)</x:f>
        <x:v>607.0914999999999</x:v>
      </x:c>
      <x:c r="P342" s="74" t="n">
        <x:f>N342+O342</x:f>
        <x:v>1778.2914999999998</x:v>
      </x:c>
      <x:c r="Q342" s="76" t="n">
        <x:f>IF(G342&lt;=0,0,P342/G342)</x:f>
        <x:v>0.015783209222912646</x:v>
      </x:c>
    </x:row>
    <x:row r="343">
      <x:c r="A343" s="56" t="str">
        <x:v>EMP029</x:v>
      </x:c>
      <x:c r="B343" s="56" t="str">
        <x:v>Maya Chen</x:v>
      </x:c>
      <x:c r="C343" s="56" t="str">
        <x:v>AE II</x:v>
      </x:c>
      <x:c r="D343" s="56" t="str">
        <x:v>2026-06</x:v>
      </x:c>
      <x:c r="E343" s="72" t="n">
        <x:v>109800</x:v>
      </x:c>
      <x:c r="F343" s="72" t="n">
        <x:v>130007</x:v>
      </x:c>
      <x:c r="G343" s="72" t="n">
        <x:v>128246.86</x:v>
      </x:c>
      <x:c r="H343" s="72" t="n">
        <x:v>1760.14</x:v>
      </x:c>
      <x:c r="I343" s="56" t="n">
        <x:v>0</x:v>
      </x:c>
      <x:c r="J343" s="56" t="n">
        <x:v>0</x:v>
      </x:c>
      <x:c r="K343" s="68" t="n">
        <x:f>IF(E343&lt;=0,"",G343/E343)</x:f>
        <x:v>1.168004189435337</x:v>
      </x:c>
      <x:c r="L343" t="str">
        <x:f>IF(K343="","Not Calculated",IF(K343&lt;0.8,"Below 80%",IF(K343&lt;1,"80%-99.99%",IF(K343&lt;1.1,"100%-109.99%",IF(K343&lt;1.75,"110%-174.99%","175%+ Review")))))</x:f>
        <x:v>110%-174.99%</x:v>
      </x:c>
      <x:c r="M343" s="56" t="str">
        <x:v>Ready for Commission Calculation</x:v>
      </x:c>
      <x:c r="N343" s="74" t="n">
        <x:f>IF(E343&lt;=0,0,MIN(G343,E343*0.8)*0.01+MAX(0,MIN(G343,E343)-E343*0.8)*0.02)</x:f>
        <x:v>1317.6</x:v>
      </x:c>
      <x:c r="O343" s="74" t="n">
        <x:f>IF(E343&lt;=0,0,MAX(0,MIN(G343,E343*1.1)-E343)*0.035+MAX(0,G343-E343*1.1)*0.05)</x:f>
        <x:v>757.6429999999998</x:v>
      </x:c>
      <x:c r="P343" s="74" t="n">
        <x:f>N343+O343</x:f>
        <x:v>2075.2429999999995</x:v>
      </x:c>
      <x:c r="Q343" s="76" t="n">
        <x:f>IF(G343&lt;=0,0,P343/G343)</x:f>
        <x:v>0.016181628150583955</x:v>
      </x:c>
    </x:row>
    <x:row r="344">
      <x:c r="A344" s="56" t="str">
        <x:v>EMP029</x:v>
      </x:c>
      <x:c r="B344" s="56" t="str">
        <x:v>Maya Chen</x:v>
      </x:c>
      <x:c r="C344" s="56" t="str">
        <x:v>AE II</x:v>
      </x:c>
      <x:c r="D344" s="56" t="str">
        <x:v>2026-07</x:v>
      </x:c>
      <x:c r="E344" s="72" t="n">
        <x:v>85400.00000000001</x:v>
      </x:c>
      <x:c r="F344" s="72" t="n">
        <x:v>88789.63</x:v>
      </x:c>
      <x:c r="G344" s="72" t="n">
        <x:v>88789.63</x:v>
      </x:c>
      <x:c r="H344" s="72" t="n">
        <x:v>0</x:v>
      </x:c>
      <x:c r="I344" s="56" t="n">
        <x:v>0</x:v>
      </x:c>
      <x:c r="J344" s="56" t="n">
        <x:v>0</x:v>
      </x:c>
      <x:c r="K344" s="68" t="n">
        <x:f>IF(E344&lt;=0,"",G344/E344)</x:f>
        <x:v>1.0396912177985946</x:v>
      </x:c>
      <x:c r="L344" t="str">
        <x:f>IF(K344="","Not Calculated",IF(K344&lt;0.8,"Below 80%",IF(K344&lt;1,"80%-99.99%",IF(K344&lt;1.1,"100%-109.99%",IF(K344&lt;1.75,"110%-174.99%","175%+ Review")))))</x:f>
        <x:v>100%-109.99%</x:v>
      </x:c>
      <x:c r="M344" s="56" t="str">
        <x:v>Ready for Commission Calculation</x:v>
      </x:c>
      <x:c r="N344" s="74" t="n">
        <x:f>IF(E344&lt;=0,0,MIN(G344,E344*0.8)*0.01+MAX(0,MIN(G344,E344)-E344*0.8)*0.02)</x:f>
        <x:v>1024.8000000000002</x:v>
      </x:c>
      <x:c r="O344" s="74" t="n">
        <x:f>IF(E344&lt;=0,0,MAX(0,MIN(G344,E344*1.1)-E344)*0.035+MAX(0,G344-E344*1.1)*0.05)</x:f>
        <x:v>118.63704999999966</x:v>
      </x:c>
      <x:c r="P344" s="74" t="n">
        <x:f>N344+O344</x:f>
        <x:v>1143.4370499999998</x:v>
      </x:c>
      <x:c r="Q344" s="76" t="n">
        <x:f>IF(G344&lt;=0,0,P344/G344)</x:f>
        <x:v>0.012878047244931641</x:v>
      </x:c>
    </x:row>
    <x:row r="345">
      <x:c r="A345" s="56" t="str">
        <x:v>EMP029</x:v>
      </x:c>
      <x:c r="B345" s="56" t="str">
        <x:v>Maya Chen</x:v>
      </x:c>
      <x:c r="C345" s="56" t="str">
        <x:v>AE II</x:v>
      </x:c>
      <x:c r="D345" s="56" t="str">
        <x:v>2026-08</x:v>
      </x:c>
      <x:c r="E345" s="72" t="n">
        <x:v>85400.00000000001</x:v>
      </x:c>
      <x:c r="F345" s="72" t="n">
        <x:v>101086.08999999998</x:v>
      </x:c>
      <x:c r="G345" s="72" t="n">
        <x:v>100771.99999999999</x:v>
      </x:c>
      <x:c r="H345" s="72" t="n">
        <x:v>314.09</x:v>
      </x:c>
      <x:c r="I345" s="56" t="n">
        <x:v>0</x:v>
      </x:c>
      <x:c r="J345" s="56" t="n">
        <x:v>0</x:v>
      </x:c>
      <x:c r="K345" s="68" t="n">
        <x:f>IF(E345&lt;=0,"",G345/E345)</x:f>
        <x:v>1.1799999999999997</x:v>
      </x:c>
      <x:c r="L345" t="str">
        <x:f>IF(K345="","Not Calculated",IF(K345&lt;0.8,"Below 80%",IF(K345&lt;1,"80%-99.99%",IF(K345&lt;1.1,"100%-109.99%",IF(K345&lt;1.75,"110%-174.99%","175%+ Review")))))</x:f>
        <x:v>110%-174.99%</x:v>
      </x:c>
      <x:c r="M345" s="56" t="str">
        <x:v>Ready for Commission Calculation</x:v>
      </x:c>
      <x:c r="N345" s="74" t="n">
        <x:f>IF(E345&lt;=0,0,MIN(G345,E345*0.8)*0.01+MAX(0,MIN(G345,E345)-E345*0.8)*0.02)</x:f>
        <x:v>1024.8000000000002</x:v>
      </x:c>
      <x:c r="O345" s="74" t="n">
        <x:f>IF(E345&lt;=0,0,MAX(0,MIN(G345,E345*1.1)-E345)*0.035+MAX(0,G345-E345*1.1)*0.05)</x:f>
        <x:v>640.4999999999984</x:v>
      </x:c>
      <x:c r="P345" s="74" t="n">
        <x:f>N345+O345</x:f>
        <x:v>1665.2999999999986</x:v>
      </x:c>
      <x:c r="Q345" s="76" t="n">
        <x:f>IF(G345&lt;=0,0,P345/G345)</x:f>
        <x:v>0.01652542372881355</x:v>
      </x:c>
    </x:row>
    <x:row r="346">
      <x:c r="A346" s="56" t="str">
        <x:v>EMP029</x:v>
      </x:c>
      <x:c r="B346" s="56" t="str">
        <x:v>Maya Chen</x:v>
      </x:c>
      <x:c r="C346" s="56" t="str">
        <x:v>AE II</x:v>
      </x:c>
      <x:c r="D346" s="56" t="str">
        <x:v>2026-09</x:v>
      </x:c>
      <x:c r="E346" s="72" t="n">
        <x:v>122000</x:v>
      </x:c>
      <x:c r="F346" s="72" t="n">
        <x:v>152767.31</x:v>
      </x:c>
      <x:c r="G346" s="72" t="n">
        <x:v>152673.99</x:v>
      </x:c>
      <x:c r="H346" s="72" t="n">
        <x:v>93.32</x:v>
      </x:c>
      <x:c r="I346" s="56" t="n">
        <x:v>0</x:v>
      </x:c>
      <x:c r="J346" s="56" t="n">
        <x:v>0</x:v>
      </x:c>
      <x:c r="K346" s="68" t="n">
        <x:f>IF(E346&lt;=0,"",G346/E346)</x:f>
        <x:v>1.2514261475409836</x:v>
      </x:c>
      <x:c r="L346" t="str">
        <x:f>IF(K346="","Not Calculated",IF(K346&lt;0.8,"Below 80%",IF(K346&lt;1,"80%-99.99%",IF(K346&lt;1.1,"100%-109.99%",IF(K346&lt;1.75,"110%-174.99%","175%+ Review")))))</x:f>
        <x:v>110%-174.99%</x:v>
      </x:c>
      <x:c r="M346" s="56" t="str">
        <x:v>Ready for Commission Calculation</x:v>
      </x:c>
      <x:c r="N346" s="74" t="n">
        <x:f>IF(E346&lt;=0,0,MIN(G346,E346*0.8)*0.01+MAX(0,MIN(G346,E346)-E346*0.8)*0.02)</x:f>
        <x:v>1464</x:v>
      </x:c>
      <x:c r="O346" s="74" t="n">
        <x:f>IF(E346&lt;=0,0,MAX(0,MIN(G346,E346*1.1)-E346)*0.035+MAX(0,G346-E346*1.1)*0.05)</x:f>
        <x:v>1350.6994999999997</x:v>
      </x:c>
      <x:c r="P346" s="74" t="n">
        <x:f>N346+O346</x:f>
        <x:v>2814.6994999999997</x:v>
      </x:c>
      <x:c r="Q346" s="76" t="n">
        <x:f>IF(G346&lt;=0,0,P346/G346)</x:f>
        <x:v>0.01843601192318351</x:v>
      </x:c>
    </x:row>
    <x:row r="347">
      <x:c r="A347" s="56" t="str">
        <x:v>EMP029</x:v>
      </x:c>
      <x:c r="B347" s="56" t="str">
        <x:v>Maya Chen</x:v>
      </x:c>
      <x:c r="C347" s="56" t="str">
        <x:v>AE II</x:v>
      </x:c>
      <x:c r="D347" s="56" t="str">
        <x:v>2026-10</x:v>
      </x:c>
      <x:c r="E347" s="72" t="n">
        <x:v>122000</x:v>
      </x:c>
      <x:c r="F347" s="72" t="n">
        <x:v>155162.96999999997</x:v>
      </x:c>
      <x:c r="G347" s="72" t="n">
        <x:v>154053.56999999998</x:v>
      </x:c>
      <x:c r="H347" s="72" t="n">
        <x:v>1109.4</x:v>
      </x:c>
      <x:c r="I347" s="56" t="n">
        <x:v>0</x:v>
      </x:c>
      <x:c r="J347" s="56" t="n">
        <x:v>0</x:v>
      </x:c>
      <x:c r="K347" s="68" t="n">
        <x:f>IF(E347&lt;=0,"",G347/E347)</x:f>
        <x:v>1.2627341803278687</x:v>
      </x:c>
      <x:c r="L347" t="str">
        <x:f>IF(K347="","Not Calculated",IF(K347&lt;0.8,"Below 80%",IF(K347&lt;1,"80%-99.99%",IF(K347&lt;1.1,"100%-109.99%",IF(K347&lt;1.75,"110%-174.99%","175%+ Review")))))</x:f>
        <x:v>110%-174.99%</x:v>
      </x:c>
      <x:c r="M347" s="56" t="str">
        <x:v>Ready for Commission Calculation</x:v>
      </x:c>
      <x:c r="N347" s="74" t="n">
        <x:f>IF(E347&lt;=0,0,MIN(G347,E347*0.8)*0.01+MAX(0,MIN(G347,E347)-E347*0.8)*0.02)</x:f>
        <x:v>1464</x:v>
      </x:c>
      <x:c r="O347" s="74" t="n">
        <x:f>IF(E347&lt;=0,0,MAX(0,MIN(G347,E347*1.1)-E347)*0.035+MAX(0,G347-E347*1.1)*0.05)</x:f>
        <x:v>1419.678499999999</x:v>
      </x:c>
      <x:c r="P347" s="74" t="n">
        <x:f>N347+O347</x:f>
        <x:v>2883.678499999999</x:v>
      </x:c>
      <x:c r="Q347" s="76" t="n">
        <x:f>IF(G347&lt;=0,0,P347/G347)</x:f>
        <x:v>0.018718673640604366</x:v>
      </x:c>
    </x:row>
    <x:row r="348">
      <x:c r="A348" s="56" t="str">
        <x:v>EMP029</x:v>
      </x:c>
      <x:c r="B348" s="56" t="str">
        <x:v>Maya Chen</x:v>
      </x:c>
      <x:c r="C348" s="56" t="str">
        <x:v>AE II</x:v>
      </x:c>
      <x:c r="D348" s="56" t="str">
        <x:v>2026-11</x:v>
      </x:c>
      <x:c r="E348" s="72" t="n">
        <x:v>109800</x:v>
      </x:c>
      <x:c r="F348" s="72" t="n">
        <x:v>126994.05999999998</x:v>
      </x:c>
      <x:c r="G348" s="72" t="n">
        <x:v>126994.05999999998</x:v>
      </x:c>
      <x:c r="H348" s="72" t="n">
        <x:v>0</x:v>
      </x:c>
      <x:c r="I348" s="56" t="n">
        <x:v>0</x:v>
      </x:c>
      <x:c r="J348" s="56" t="n">
        <x:v>0</x:v>
      </x:c>
      <x:c r="K348" s="68" t="n">
        <x:f>IF(E348&lt;=0,"",G348/E348)</x:f>
        <x:v>1.1565943533697631</x:v>
      </x:c>
      <x:c r="L348" t="str">
        <x:f>IF(K348="","Not Calculated",IF(K348&lt;0.8,"Below 80%",IF(K348&lt;1,"80%-99.99%",IF(K348&lt;1.1,"100%-109.99%",IF(K348&lt;1.75,"110%-174.99%","175%+ Review")))))</x:f>
        <x:v>110%-174.99%</x:v>
      </x:c>
      <x:c r="M348" s="56" t="str">
        <x:v>Ready for Commission Calculation</x:v>
      </x:c>
      <x:c r="N348" s="74" t="n">
        <x:f>IF(E348&lt;=0,0,MIN(G348,E348*0.8)*0.01+MAX(0,MIN(G348,E348)-E348*0.8)*0.02)</x:f>
        <x:v>1317.6</x:v>
      </x:c>
      <x:c r="O348" s="74" t="n">
        <x:f>IF(E348&lt;=0,0,MAX(0,MIN(G348,E348*1.1)-E348)*0.035+MAX(0,G348-E348*1.1)*0.05)</x:f>
        <x:v>695.002999999999</x:v>
      </x:c>
      <x:c r="P348" s="74" t="n">
        <x:f>N348+O348</x:f>
        <x:v>2012.602999999999</x:v>
      </x:c>
      <x:c r="Q348" s="76" t="n">
        <x:f>IF(G348&lt;=0,0,P348/G348)</x:f>
        <x:v>0.01584800895411958</x:v>
      </x:c>
    </x:row>
    <x:row r="349">
      <x:c r="A349" s="56" t="str">
        <x:v>EMP029</x:v>
      </x:c>
      <x:c r="B349" s="56" t="str">
        <x:v>Maya Chen</x:v>
      </x:c>
      <x:c r="C349" s="56" t="str">
        <x:v>AE II</x:v>
      </x:c>
      <x:c r="D349" s="56" t="str">
        <x:v>2026-12</x:v>
      </x:c>
      <x:c r="E349" s="72" t="n">
        <x:v>122000</x:v>
      </x:c>
      <x:c r="F349" s="72" t="n">
        <x:v>167672.77000000002</x:v>
      </x:c>
      <x:c r="G349" s="72" t="n">
        <x:v>154417.37000000002</x:v>
      </x:c>
      <x:c r="H349" s="72" t="n">
        <x:v>13255.4</x:v>
      </x:c>
      <x:c r="I349" s="56" t="n">
        <x:v>0</x:v>
      </x:c>
      <x:c r="J349" s="56" t="n">
        <x:v>0</x:v>
      </x:c>
      <x:c r="K349" s="68" t="n">
        <x:f>IF(E349&lt;=0,"",G349/E349)</x:f>
        <x:v>1.2657161475409837</x:v>
      </x:c>
      <x:c r="L349" t="str">
        <x:f>IF(K349="","Not Calculated",IF(K349&lt;0.8,"Below 80%",IF(K349&lt;1,"80%-99.99%",IF(K349&lt;1.1,"100%-109.99%",IF(K349&lt;1.75,"110%-174.99%","175%+ Review")))))</x:f>
        <x:v>110%-174.99%</x:v>
      </x:c>
      <x:c r="M349" s="56" t="str">
        <x:v>Ready for Commission Calculation</x:v>
      </x:c>
      <x:c r="N349" s="74" t="n">
        <x:f>IF(E349&lt;=0,0,MIN(G349,E349*0.8)*0.01+MAX(0,MIN(G349,E349)-E349*0.8)*0.02)</x:f>
        <x:v>1464</x:v>
      </x:c>
      <x:c r="O349" s="74" t="n">
        <x:f>IF(E349&lt;=0,0,MAX(0,MIN(G349,E349*1.1)-E349)*0.035+MAX(0,G349-E349*1.1)*0.05)</x:f>
        <x:v>1437.8685000000014</x:v>
      </x:c>
      <x:c r="P349" s="74" t="n">
        <x:f>N349+O349</x:f>
        <x:v>2901.8685000000014</x:v>
      </x:c>
      <x:c r="Q349" s="76" t="n">
        <x:f>IF(G349&lt;=0,0,P349/G349)</x:f>
        <x:v>0.018792370961893737</x:v>
      </x:c>
    </x:row>
    <x:row r="350">
      <x:c r="A350" s="56" t="str">
        <x:v>EMP030</x:v>
      </x:c>
      <x:c r="B350" s="56" t="str">
        <x:v>Brooke Wilson</x:v>
      </x:c>
      <x:c r="C350" s="56" t="str">
        <x:v>AE II</x:v>
      </x:c>
      <x:c r="D350" s="56" t="str">
        <x:v>2026-01</x:v>
      </x:c>
      <x:c r="E350" s="72" t="n">
        <x:v>100100.00000000001</x:v>
      </x:c>
      <x:c r="F350" s="72" t="n">
        <x:v>89279.12999999999</x:v>
      </x:c>
      <x:c r="G350" s="72" t="n">
        <x:v>89279.12999999999</x:v>
      </x:c>
      <x:c r="H350" s="72" t="n">
        <x:v>0</x:v>
      </x:c>
      <x:c r="I350" s="56" t="n">
        <x:v>0</x:v>
      </x:c>
      <x:c r="J350" s="56" t="n">
        <x:v>0</x:v>
      </x:c>
      <x:c r="K350" s="68" t="n">
        <x:f>IF(E350&lt;=0,"",G350/E350)</x:f>
        <x:v>0.8918994005994003</x:v>
      </x:c>
      <x:c r="L350" t="str">
        <x:f>IF(K350="","Not Calculated",IF(K350&lt;0.8,"Below 80%",IF(K350&lt;1,"80%-99.99%",IF(K350&lt;1.1,"100%-109.99%",IF(K350&lt;1.75,"110%-174.99%","175%+ Review")))))</x:f>
        <x:v>80%-99.99%</x:v>
      </x:c>
      <x:c r="M350" s="56" t="str">
        <x:v>Ready for Commission Calculation</x:v>
      </x:c>
      <x:c r="N350" s="74" t="n">
        <x:f>IF(E350&lt;=0,0,MIN(G350,E350*0.8)*0.01+MAX(0,MIN(G350,E350)-E350*0.8)*0.02)</x:f>
        <x:v>984.7825999999997</x:v>
      </x:c>
      <x:c r="O350" s="74" t="n">
        <x:f>IF(E350&lt;=0,0,MAX(0,MIN(G350,E350*1.1)-E350)*0.035+MAX(0,G350-E350*1.1)*0.05)</x:f>
        <x:v>0</x:v>
      </x:c>
      <x:c r="P350" s="74" t="n">
        <x:f>N350+O350</x:f>
        <x:v>984.7825999999997</x:v>
      </x:c>
      <x:c r="Q350" s="76" t="n">
        <x:f>IF(G350&lt;=0,0,P350/G350)</x:f>
        <x:v>0.011030378544235364</x:v>
      </x:c>
    </x:row>
    <x:row r="351">
      <x:c r="A351" s="56" t="str">
        <x:v>EMP030</x:v>
      </x:c>
      <x:c r="B351" s="56" t="str">
        <x:v>Brooke Wilson</x:v>
      </x:c>
      <x:c r="C351" s="56" t="str">
        <x:v>AE II</x:v>
      </x:c>
      <x:c r="D351" s="56" t="str">
        <x:v>2026-02</x:v>
      </x:c>
      <x:c r="E351" s="72" t="n">
        <x:v>100100.00000000001</x:v>
      </x:c>
      <x:c r="F351" s="72" t="n">
        <x:v>103308.21</x:v>
      </x:c>
      <x:c r="G351" s="72" t="n">
        <x:v>103144.26000000001</x:v>
      </x:c>
      <x:c r="H351" s="72" t="n">
        <x:v>163.95</x:v>
      </x:c>
      <x:c r="I351" s="56" t="n">
        <x:v>0</x:v>
      </x:c>
      <x:c r="J351" s="56" t="n">
        <x:v>0</x:v>
      </x:c>
      <x:c r="K351" s="68" t="n">
        <x:f>IF(E351&lt;=0,"",G351/E351)</x:f>
        <x:v>1.0304121878121877</x:v>
      </x:c>
      <x:c r="L351" t="str">
        <x:f>IF(K351="","Not Calculated",IF(K351&lt;0.8,"Below 80%",IF(K351&lt;1,"80%-99.99%",IF(K351&lt;1.1,"100%-109.99%",IF(K351&lt;1.75,"110%-174.99%","175%+ Review")))))</x:f>
        <x:v>100%-109.99%</x:v>
      </x:c>
      <x:c r="M351" s="56" t="str">
        <x:v>Ready for Commission Calculation</x:v>
      </x:c>
      <x:c r="N351" s="74" t="n">
        <x:f>IF(E351&lt;=0,0,MIN(G351,E351*0.8)*0.01+MAX(0,MIN(G351,E351)-E351*0.8)*0.02)</x:f>
        <x:v>1201.2000000000003</x:v>
      </x:c>
      <x:c r="O351" s="74" t="n">
        <x:f>IF(E351&lt;=0,0,MAX(0,MIN(G351,E351*1.1)-E351)*0.035+MAX(0,G351-E351*1.1)*0.05)</x:f>
        <x:v>106.54909999999983</x:v>
      </x:c>
      <x:c r="P351" s="74" t="n">
        <x:f>N351+O351</x:f>
        <x:v>1307.7491</x:v>
      </x:c>
      <x:c r="Q351" s="76" t="n">
        <x:f>IF(G351&lt;=0,0,P351/G351)</x:f>
        <x:v>0.01267883544852617</x:v>
      </x:c>
    </x:row>
    <x:row r="352">
      <x:c r="A352" s="56" t="str">
        <x:v>EMP030</x:v>
      </x:c>
      <x:c r="B352" s="56" t="str">
        <x:v>Brooke Wilson</x:v>
      </x:c>
      <x:c r="C352" s="56" t="str">
        <x:v>AE II</x:v>
      </x:c>
      <x:c r="D352" s="56" t="str">
        <x:v>2026-03</x:v>
      </x:c>
      <x:c r="E352" s="72" t="n">
        <x:v>114400</x:v>
      </x:c>
      <x:c r="F352" s="72" t="n">
        <x:v>118757.66</x:v>
      </x:c>
      <x:c r="G352" s="72" t="n">
        <x:v>118045.74000000002</x:v>
      </x:c>
      <x:c r="H352" s="72" t="n">
        <x:v>711.92</x:v>
      </x:c>
      <x:c r="I352" s="56" t="n">
        <x:v>0</x:v>
      </x:c>
      <x:c r="J352" s="56" t="n">
        <x:v>0</x:v>
      </x:c>
      <x:c r="K352" s="68" t="n">
        <x:f>IF(E352&lt;=0,"",G352/E352)</x:f>
        <x:v>1.0318683566433569</x:v>
      </x:c>
      <x:c r="L352" t="str">
        <x:f>IF(K352="","Not Calculated",IF(K352&lt;0.8,"Below 80%",IF(K352&lt;1,"80%-99.99%",IF(K352&lt;1.1,"100%-109.99%",IF(K352&lt;1.75,"110%-174.99%","175%+ Review")))))</x:f>
        <x:v>100%-109.99%</x:v>
      </x:c>
      <x:c r="M352" s="56" t="str">
        <x:v>Ready for Commission Calculation</x:v>
      </x:c>
      <x:c r="N352" s="74" t="n">
        <x:f>IF(E352&lt;=0,0,MIN(G352,E352*0.8)*0.01+MAX(0,MIN(G352,E352)-E352*0.8)*0.02)</x:f>
        <x:v>1372.8000000000002</x:v>
      </x:c>
      <x:c r="O352" s="74" t="n">
        <x:f>IF(E352&lt;=0,0,MAX(0,MIN(G352,E352*1.1)-E352)*0.035+MAX(0,G352-E352*1.1)*0.05)</x:f>
        <x:v>127.6009000000007</x:v>
      </x:c>
      <x:c r="P352" s="74" t="n">
        <x:f>N352+O352</x:f>
        <x:v>1500.400900000001</x:v>
      </x:c>
      <x:c r="Q352" s="76" t="n">
        <x:f>IF(G352&lt;=0,0,P352/G352)</x:f>
        <x:v>0.012710334993876108</x:v>
      </x:c>
    </x:row>
    <x:row r="353">
      <x:c r="A353" s="56" t="str">
        <x:v>EMP030</x:v>
      </x:c>
      <x:c r="B353" s="56" t="str">
        <x:v>Brooke Wilson</x:v>
      </x:c>
      <x:c r="C353" s="56" t="str">
        <x:v>AE II</x:v>
      </x:c>
      <x:c r="D353" s="56" t="str">
        <x:v>2026-04</x:v>
      </x:c>
      <x:c r="E353" s="72" t="n">
        <x:v>114400</x:v>
      </x:c>
      <x:c r="F353" s="72" t="n">
        <x:v>123875.57</x:v>
      </x:c>
      <x:c r="G353" s="72" t="n">
        <x:v>123875.57</x:v>
      </x:c>
      <x:c r="H353" s="72" t="n">
        <x:v>0</x:v>
      </x:c>
      <x:c r="I353" s="56" t="n">
        <x:v>0</x:v>
      </x:c>
      <x:c r="J353" s="56" t="n">
        <x:v>0</x:v>
      </x:c>
      <x:c r="K353" s="68" t="n">
        <x:f>IF(E353&lt;=0,"",G353/E353)</x:f>
        <x:v>1.082828409090909</x:v>
      </x:c>
      <x:c r="L353" t="str">
        <x:f>IF(K353="","Not Calculated",IF(K353&lt;0.8,"Below 80%",IF(K353&lt;1,"80%-99.99%",IF(K353&lt;1.1,"100%-109.99%",IF(K353&lt;1.75,"110%-174.99%","175%+ Review")))))</x:f>
        <x:v>100%-109.99%</x:v>
      </x:c>
      <x:c r="M353" s="56" t="str">
        <x:v>Ready for Commission Calculation</x:v>
      </x:c>
      <x:c r="N353" s="74" t="n">
        <x:f>IF(E353&lt;=0,0,MIN(G353,E353*0.8)*0.01+MAX(0,MIN(G353,E353)-E353*0.8)*0.02)</x:f>
        <x:v>1372.8000000000002</x:v>
      </x:c>
      <x:c r="O353" s="74" t="n">
        <x:f>IF(E353&lt;=0,0,MAX(0,MIN(G353,E353*1.1)-E353)*0.035+MAX(0,G353-E353*1.1)*0.05)</x:f>
        <x:v>331.6449500000003</x:v>
      </x:c>
      <x:c r="P353" s="74" t="n">
        <x:f>N353+O353</x:f>
        <x:v>1704.4449500000005</x:v>
      </x:c>
      <x:c r="Q353" s="76" t="n">
        <x:f>IF(G353&lt;=0,0,P353/G353)</x:f>
        <x:v>0.013759330834966091</x:v>
      </x:c>
    </x:row>
    <x:row r="354">
      <x:c r="A354" s="56" t="str">
        <x:v>EMP030</x:v>
      </x:c>
      <x:c r="B354" s="56" t="str">
        <x:v>Brooke Wilson</x:v>
      </x:c>
      <x:c r="C354" s="56" t="str">
        <x:v>AE II</x:v>
      </x:c>
      <x:c r="D354" s="56" t="str">
        <x:v>2026-05</x:v>
      </x:c>
      <x:c r="E354" s="72" t="n">
        <x:v>114400</x:v>
      </x:c>
      <x:c r="F354" s="72" t="n">
        <x:v>112749.73000000001</x:v>
      </x:c>
      <x:c r="G354" s="72" t="n">
        <x:v>112238.17000000001</x:v>
      </x:c>
      <x:c r="H354" s="72" t="n">
        <x:v>511.56</x:v>
      </x:c>
      <x:c r="I354" s="56" t="n">
        <x:v>0</x:v>
      </x:c>
      <x:c r="J354" s="56" t="n">
        <x:v>0</x:v>
      </x:c>
      <x:c r="K354" s="68" t="n">
        <x:f>IF(E354&lt;=0,"",G354/E354)</x:f>
        <x:v>0.9811028846153848</x:v>
      </x:c>
      <x:c r="L354" t="str">
        <x:f>IF(K354="","Not Calculated",IF(K354&lt;0.8,"Below 80%",IF(K354&lt;1,"80%-99.99%",IF(K354&lt;1.1,"100%-109.99%",IF(K354&lt;1.75,"110%-174.99%","175%+ Review")))))</x:f>
        <x:v>80%-99.99%</x:v>
      </x:c>
      <x:c r="M354" s="56" t="str">
        <x:v>Ready for Commission Calculation</x:v>
      </x:c>
      <x:c r="N354" s="74" t="n">
        <x:f>IF(E354&lt;=0,0,MIN(G354,E354*0.8)*0.01+MAX(0,MIN(G354,E354)-E354*0.8)*0.02)</x:f>
        <x:v>1329.5634000000002</x:v>
      </x:c>
      <x:c r="O354" s="74" t="n">
        <x:f>IF(E354&lt;=0,0,MAX(0,MIN(G354,E354*1.1)-E354)*0.035+MAX(0,G354-E354*1.1)*0.05)</x:f>
        <x:v>0</x:v>
      </x:c>
      <x:c r="P354" s="74" t="n">
        <x:f>N354+O354</x:f>
        <x:v>1329.5634000000002</x:v>
      </x:c>
      <x:c r="Q354" s="76" t="n">
        <x:f>IF(G354&lt;=0,0,P354/G354)</x:f>
        <x:v>0.011845911243919961</x:v>
      </x:c>
    </x:row>
    <x:row r="355">
      <x:c r="A355" s="56" t="str">
        <x:v>EMP030</x:v>
      </x:c>
      <x:c r="B355" s="56" t="str">
        <x:v>Brooke Wilson</x:v>
      </x:c>
      <x:c r="C355" s="56" t="str">
        <x:v>AE II</x:v>
      </x:c>
      <x:c r="D355" s="56" t="str">
        <x:v>2026-06</x:v>
      </x:c>
      <x:c r="E355" s="72" t="n">
        <x:v>128700</x:v>
      </x:c>
      <x:c r="F355" s="72" t="n">
        <x:v>168662.6</x:v>
      </x:c>
      <x:c r="G355" s="72" t="n">
        <x:v>157476.38</x:v>
      </x:c>
      <x:c r="H355" s="72" t="n">
        <x:v>11186.22</x:v>
      </x:c>
      <x:c r="I355" s="56" t="n">
        <x:v>0</x:v>
      </x:c>
      <x:c r="J355" s="56" t="n">
        <x:v>0</x:v>
      </x:c>
      <x:c r="K355" s="68" t="n">
        <x:f>IF(E355&lt;=0,"",G355/E355)</x:f>
        <x:v>1.2235926961926962</x:v>
      </x:c>
      <x:c r="L355" t="str">
        <x:f>IF(K355="","Not Calculated",IF(K355&lt;0.8,"Below 80%",IF(K355&lt;1,"80%-99.99%",IF(K355&lt;1.1,"100%-109.99%",IF(K355&lt;1.75,"110%-174.99%","175%+ Review")))))</x:f>
        <x:v>110%-174.99%</x:v>
      </x:c>
      <x:c r="M355" s="56" t="str">
        <x:v>Ready for Commission Calculation</x:v>
      </x:c>
      <x:c r="N355" s="74" t="n">
        <x:f>IF(E355&lt;=0,0,MIN(G355,E355*0.8)*0.01+MAX(0,MIN(G355,E355)-E355*0.8)*0.02)</x:f>
        <x:v>1544.3999999999999</x:v>
      </x:c>
      <x:c r="O355" s="74" t="n">
        <x:f>IF(E355&lt;=0,0,MAX(0,MIN(G355,E355*1.1)-E355)*0.035+MAX(0,G355-E355*1.1)*0.05)</x:f>
        <x:v>1245.7690000000002</x:v>
      </x:c>
      <x:c r="P355" s="74" t="n">
        <x:f>N355+O355</x:f>
        <x:v>2790.169</x:v>
      </x:c>
      <x:c r="Q355" s="76" t="n">
        <x:f>IF(G355&lt;=0,0,P355/G355)</x:f>
        <x:v>0.017718015870062543</x:v>
      </x:c>
    </x:row>
    <x:row r="356">
      <x:c r="A356" s="56" t="str">
        <x:v>EMP030</x:v>
      </x:c>
      <x:c r="B356" s="56" t="str">
        <x:v>Brooke Wilson</x:v>
      </x:c>
      <x:c r="C356" s="56" t="str">
        <x:v>AE II</x:v>
      </x:c>
      <x:c r="D356" s="56" t="str">
        <x:v>2026-07</x:v>
      </x:c>
      <x:c r="E356" s="72" t="n">
        <x:v>100100.00000000001</x:v>
      </x:c>
      <x:c r="F356" s="72" t="n">
        <x:v>100316.62000000001</x:v>
      </x:c>
      <x:c r="G356" s="72" t="n">
        <x:v>99474.40000000001</x:v>
      </x:c>
      <x:c r="H356" s="72" t="n">
        <x:v>842.22</x:v>
      </x:c>
      <x:c r="I356" s="56" t="n">
        <x:v>0</x:v>
      </x:c>
      <x:c r="J356" s="56" t="n">
        <x:v>0</x:v>
      </x:c>
      <x:c r="K356" s="68" t="n">
        <x:f>IF(E356&lt;=0,"",G356/E356)</x:f>
        <x:v>0.9937502497502497</x:v>
      </x:c>
      <x:c r="L356" t="str">
        <x:f>IF(K356="","Not Calculated",IF(K356&lt;0.8,"Below 80%",IF(K356&lt;1,"80%-99.99%",IF(K356&lt;1.1,"100%-109.99%",IF(K356&lt;1.75,"110%-174.99%","175%+ Review")))))</x:f>
        <x:v>80%-99.99%</x:v>
      </x:c>
      <x:c r="M356" s="56" t="str">
        <x:v>Ready for Commission Calculation</x:v>
      </x:c>
      <x:c r="N356" s="74" t="n">
        <x:f>IF(E356&lt;=0,0,MIN(G356,E356*0.8)*0.01+MAX(0,MIN(G356,E356)-E356*0.8)*0.02)</x:f>
        <x:v>1188.688</x:v>
      </x:c>
      <x:c r="O356" s="74" t="n">
        <x:f>IF(E356&lt;=0,0,MAX(0,MIN(G356,E356*1.1)-E356)*0.035+MAX(0,G356-E356*1.1)*0.05)</x:f>
        <x:v>0</x:v>
      </x:c>
      <x:c r="P356" s="74" t="n">
        <x:f>N356+O356</x:f>
        <x:v>1188.688</x:v>
      </x:c>
      <x:c r="Q356" s="76" t="n">
        <x:f>IF(G356&lt;=0,0,P356/G356)</x:f>
        <x:v>0.011949687557803818</x:v>
      </x:c>
    </x:row>
    <x:row r="357">
      <x:c r="A357" s="56" t="str">
        <x:v>EMP030</x:v>
      </x:c>
      <x:c r="B357" s="56" t="str">
        <x:v>Brooke Wilson</x:v>
      </x:c>
      <x:c r="C357" s="56" t="str">
        <x:v>AE II</x:v>
      </x:c>
      <x:c r="D357" s="56" t="str">
        <x:v>2026-08</x:v>
      </x:c>
      <x:c r="E357" s="72" t="n">
        <x:v>100100.00000000001</x:v>
      </x:c>
      <x:c r="F357" s="72" t="n">
        <x:v>102905.64</x:v>
      </x:c>
      <x:c r="G357" s="72" t="n">
        <x:v>102377.19</x:v>
      </x:c>
      <x:c r="H357" s="72" t="n">
        <x:v>528.45</x:v>
      </x:c>
      <x:c r="I357" s="56" t="n">
        <x:v>0</x:v>
      </x:c>
      <x:c r="J357" s="56" t="n">
        <x:v>0</x:v>
      </x:c>
      <x:c r="K357" s="68" t="n">
        <x:f>IF(E357&lt;=0,"",G357/E357)</x:f>
        <x:v>1.0227491508491506</x:v>
      </x:c>
      <x:c r="L357" t="str">
        <x:f>IF(K357="","Not Calculated",IF(K357&lt;0.8,"Below 80%",IF(K357&lt;1,"80%-99.99%",IF(K357&lt;1.1,"100%-109.99%",IF(K357&lt;1.75,"110%-174.99%","175%+ Review")))))</x:f>
        <x:v>100%-109.99%</x:v>
      </x:c>
      <x:c r="M357" s="56" t="str">
        <x:v>Ready for Commission Calculation</x:v>
      </x:c>
      <x:c r="N357" s="74" t="n">
        <x:f>IF(E357&lt;=0,0,MIN(G357,E357*0.8)*0.01+MAX(0,MIN(G357,E357)-E357*0.8)*0.02)</x:f>
        <x:v>1201.2000000000003</x:v>
      </x:c>
      <x:c r="O357" s="74" t="n">
        <x:f>IF(E357&lt;=0,0,MAX(0,MIN(G357,E357*1.1)-E357)*0.035+MAX(0,G357-E357*1.1)*0.05)</x:f>
        <x:v>79.70164999999957</x:v>
      </x:c>
      <x:c r="P357" s="74" t="n">
        <x:f>N357+O357</x:f>
        <x:v>1280.9016499999998</x:v>
      </x:c>
      <x:c r="Q357" s="76" t="n">
        <x:f>IF(G357&lt;=0,0,P357/G357)</x:f>
        <x:v>0.012511592181813153</x:v>
      </x:c>
    </x:row>
    <x:row r="358">
      <x:c r="A358" s="56" t="str">
        <x:v>EMP030</x:v>
      </x:c>
      <x:c r="B358" s="56" t="str">
        <x:v>Brooke Wilson</x:v>
      </x:c>
      <x:c r="C358" s="56" t="str">
        <x:v>AE II</x:v>
      </x:c>
      <x:c r="D358" s="56" t="str">
        <x:v>2026-09</x:v>
      </x:c>
      <x:c r="E358" s="72" t="n">
        <x:v>143000</x:v>
      </x:c>
      <x:c r="F358" s="72" t="n">
        <x:v>153373.08999999997</x:v>
      </x:c>
      <x:c r="G358" s="72" t="n">
        <x:v>153091.71999999997</x:v>
      </x:c>
      <x:c r="H358" s="72" t="n">
        <x:v>281.37</x:v>
      </x:c>
      <x:c r="I358" s="56" t="n">
        <x:v>0</x:v>
      </x:c>
      <x:c r="J358" s="56" t="n">
        <x:v>0</x:v>
      </x:c>
      <x:c r="K358" s="68" t="n">
        <x:f>IF(E358&lt;=0,"",G358/E358)</x:f>
        <x:v>1.0705714685314682</x:v>
      </x:c>
      <x:c r="L358" t="str">
        <x:f>IF(K358="","Not Calculated",IF(K358&lt;0.8,"Below 80%",IF(K358&lt;1,"80%-99.99%",IF(K358&lt;1.1,"100%-109.99%",IF(K358&lt;1.75,"110%-174.99%","175%+ Review")))))</x:f>
        <x:v>100%-109.99%</x:v>
      </x:c>
      <x:c r="M358" s="56" t="str">
        <x:v>Ready for Commission Calculation</x:v>
      </x:c>
      <x:c r="N358" s="74" t="n">
        <x:f>IF(E358&lt;=0,0,MIN(G358,E358*0.8)*0.01+MAX(0,MIN(G358,E358)-E358*0.8)*0.02)</x:f>
        <x:v>1716</x:v>
      </x:c>
      <x:c r="O358" s="74" t="n">
        <x:f>IF(E358&lt;=0,0,MAX(0,MIN(G358,E358*1.1)-E358)*0.035+MAX(0,G358-E358*1.1)*0.05)</x:f>
        <x:v>353.2101999999991</x:v>
      </x:c>
      <x:c r="P358" s="74" t="n">
        <x:f>N358+O358</x:f>
        <x:v>2069.210199999999</x:v>
      </x:c>
      <x:c r="Q358" s="76" t="n">
        <x:f>IF(G358&lt;=0,0,P358/G358)</x:f>
        <x:v>0.013516147052237701</x:v>
      </x:c>
    </x:row>
    <x:row r="359">
      <x:c r="A359" s="56" t="str">
        <x:v>EMP030</x:v>
      </x:c>
      <x:c r="B359" s="56" t="str">
        <x:v>Brooke Wilson</x:v>
      </x:c>
      <x:c r="C359" s="56" t="str">
        <x:v>AE II</x:v>
      </x:c>
      <x:c r="D359" s="56" t="str">
        <x:v>2026-10</x:v>
      </x:c>
      <x:c r="E359" s="72" t="n">
        <x:v>143000</x:v>
      </x:c>
      <x:c r="F359" s="72" t="n">
        <x:v>146520.75</x:v>
      </x:c>
      <x:c r="G359" s="72" t="n">
        <x:v>146520.75</x:v>
      </x:c>
      <x:c r="H359" s="72" t="n">
        <x:v>0</x:v>
      </x:c>
      <x:c r="I359" s="56" t="n">
        <x:v>0</x:v>
      </x:c>
      <x:c r="J359" s="56" t="n">
        <x:v>0</x:v>
      </x:c>
      <x:c r="K359" s="68" t="n">
        <x:f>IF(E359&lt;=0,"",G359/E359)</x:f>
        <x:v>1.0246206293706295</x:v>
      </x:c>
      <x:c r="L359" t="str">
        <x:f>IF(K359="","Not Calculated",IF(K359&lt;0.8,"Below 80%",IF(K359&lt;1,"80%-99.99%",IF(K359&lt;1.1,"100%-109.99%",IF(K359&lt;1.75,"110%-174.99%","175%+ Review")))))</x:f>
        <x:v>100%-109.99%</x:v>
      </x:c>
      <x:c r="M359" s="56" t="str">
        <x:v>Ready for Commission Calculation</x:v>
      </x:c>
      <x:c r="N359" s="74" t="n">
        <x:f>IF(E359&lt;=0,0,MIN(G359,E359*0.8)*0.01+MAX(0,MIN(G359,E359)-E359*0.8)*0.02)</x:f>
        <x:v>1716</x:v>
      </x:c>
      <x:c r="O359" s="74" t="n">
        <x:f>IF(E359&lt;=0,0,MAX(0,MIN(G359,E359*1.1)-E359)*0.035+MAX(0,G359-E359*1.1)*0.05)</x:f>
        <x:v>123.22625000000001</x:v>
      </x:c>
      <x:c r="P359" s="74" t="n">
        <x:f>N359+O359</x:f>
        <x:v>1839.22625</x:v>
      </x:c>
      <x:c r="Q359" s="76" t="n">
        <x:f>IF(G359&lt;=0,0,P359/G359)</x:f>
        <x:v>0.012552667454950919</x:v>
      </x:c>
    </x:row>
    <x:row r="360">
      <x:c r="A360" s="56" t="str">
        <x:v>EMP030</x:v>
      </x:c>
      <x:c r="B360" s="56" t="str">
        <x:v>Brooke Wilson</x:v>
      </x:c>
      <x:c r="C360" s="56" t="str">
        <x:v>AE II</x:v>
      </x:c>
      <x:c r="D360" s="56" t="str">
        <x:v>2026-11</x:v>
      </x:c>
      <x:c r="E360" s="72" t="n">
        <x:v>128700</x:v>
      </x:c>
      <x:c r="F360" s="72" t="n">
        <x:v>139050.10000000003</x:v>
      </x:c>
      <x:c r="G360" s="72" t="n">
        <x:v>139050.10000000003</x:v>
      </x:c>
      <x:c r="H360" s="72" t="n">
        <x:v>0</x:v>
      </x:c>
      <x:c r="I360" s="56" t="n">
        <x:v>0</x:v>
      </x:c>
      <x:c r="J360" s="56" t="n">
        <x:v>0</x:v>
      </x:c>
      <x:c r="K360" s="68" t="n">
        <x:f>IF(E360&lt;=0,"",G360/E360)</x:f>
        <x:v>1.0804203574203577</x:v>
      </x:c>
      <x:c r="L360" t="str">
        <x:f>IF(K360="","Not Calculated",IF(K360&lt;0.8,"Below 80%",IF(K360&lt;1,"80%-99.99%",IF(K360&lt;1.1,"100%-109.99%",IF(K360&lt;1.75,"110%-174.99%","175%+ Review")))))</x:f>
        <x:v>100%-109.99%</x:v>
      </x:c>
      <x:c r="M360" s="56" t="str">
        <x:v>Ready for Commission Calculation</x:v>
      </x:c>
      <x:c r="N360" s="74" t="n">
        <x:f>IF(E360&lt;=0,0,MIN(G360,E360*0.8)*0.01+MAX(0,MIN(G360,E360)-E360*0.8)*0.02)</x:f>
        <x:v>1544.3999999999999</x:v>
      </x:c>
      <x:c r="O360" s="74" t="n">
        <x:f>IF(E360&lt;=0,0,MAX(0,MIN(G360,E360*1.1)-E360)*0.035+MAX(0,G360-E360*1.1)*0.05)</x:f>
        <x:v>362.2535000000013</x:v>
      </x:c>
      <x:c r="P360" s="74" t="n">
        <x:f>N360+O360</x:f>
        <x:v>1906.6535000000013</x:v>
      </x:c>
      <x:c r="Q360" s="76" t="n">
        <x:f>IF(G360&lt;=0,0,P360/G360)</x:f>
        <x:v>0.01371198941964084</x:v>
      </x:c>
    </x:row>
    <x:row r="361">
      <x:c r="A361" s="56" t="str">
        <x:v>EMP030</x:v>
      </x:c>
      <x:c r="B361" s="56" t="str">
        <x:v>Brooke Wilson</x:v>
      </x:c>
      <x:c r="C361" s="56" t="str">
        <x:v>AE II</x:v>
      </x:c>
      <x:c r="D361" s="56" t="str">
        <x:v>2026-12</x:v>
      </x:c>
      <x:c r="E361" s="72" t="n">
        <x:v>143000</x:v>
      </x:c>
      <x:c r="F361" s="72" t="n">
        <x:v>146270.88</x:v>
      </x:c>
      <x:c r="G361" s="72" t="n">
        <x:v>144840.96000000002</x:v>
      </x:c>
      <x:c r="H361" s="72" t="n">
        <x:v>1429.92</x:v>
      </x:c>
      <x:c r="I361" s="56" t="n">
        <x:v>0</x:v>
      </x:c>
      <x:c r="J361" s="56" t="n">
        <x:v>0</x:v>
      </x:c>
      <x:c r="K361" s="68" t="n">
        <x:f>IF(E361&lt;=0,"",G361/E361)</x:f>
        <x:v>1.0128738461538462</x:v>
      </x:c>
      <x:c r="L361" t="str">
        <x:f>IF(K361="","Not Calculated",IF(K361&lt;0.8,"Below 80%",IF(K361&lt;1,"80%-99.99%",IF(K361&lt;1.1,"100%-109.99%",IF(K361&lt;1.75,"110%-174.99%","175%+ Review")))))</x:f>
        <x:v>100%-109.99%</x:v>
      </x:c>
      <x:c r="M361" s="56" t="str">
        <x:v>Ready for Commission Calculation</x:v>
      </x:c>
      <x:c r="N361" s="74" t="n">
        <x:f>IF(E361&lt;=0,0,MIN(G361,E361*0.8)*0.01+MAX(0,MIN(G361,E361)-E361*0.8)*0.02)</x:f>
        <x:v>1716</x:v>
      </x:c>
      <x:c r="O361" s="74" t="n">
        <x:f>IF(E361&lt;=0,0,MAX(0,MIN(G361,E361*1.1)-E361)*0.035+MAX(0,G361-E361*1.1)*0.05)</x:f>
        <x:v>64.43360000000074</x:v>
      </x:c>
      <x:c r="P361" s="74" t="n">
        <x:f>N361+O361</x:f>
        <x:v>1780.4336000000008</x:v>
      </x:c>
      <x:c r="Q361" s="76" t="n">
        <x:f>IF(G361&lt;=0,0,P361/G361)</x:f>
        <x:v>0.012292334985904542</x:v>
      </x:c>
    </x:row>
    <x:row r="362">
      <x:c r="A362" s="56" t="str">
        <x:v>EMP031</x:v>
      </x:c>
      <x:c r="B362" s="56" t="str">
        <x:v>Kevin Tran</x:v>
      </x:c>
      <x:c r="C362" s="56" t="str">
        <x:v>AE II</x:v>
      </x:c>
      <x:c r="D362" s="56" t="str">
        <x:v>2026-01</x:v>
      </x:c>
      <x:c r="E362" s="72" t="n">
        <x:v>91700.00000000001</x:v>
      </x:c>
      <x:c r="F362" s="72" t="n">
        <x:v>90675.96</x:v>
      </x:c>
      <x:c r="G362" s="72" t="n">
        <x:v>90255.92</x:v>
      </x:c>
      <x:c r="H362" s="72" t="n">
        <x:v>420.04</x:v>
      </x:c>
      <x:c r="I362" s="56" t="n">
        <x:v>0</x:v>
      </x:c>
      <x:c r="J362" s="56" t="n">
        <x:v>0</x:v>
      </x:c>
      <x:c r="K362" s="68" t="n">
        <x:f>IF(E362&lt;=0,"",G362/E362)</x:f>
        <x:v>0.9842521264994546</x:v>
      </x:c>
      <x:c r="L362" t="str">
        <x:f>IF(K362="","Not Calculated",IF(K362&lt;0.8,"Below 80%",IF(K362&lt;1,"80%-99.99%",IF(K362&lt;1.1,"100%-109.99%",IF(K362&lt;1.75,"110%-174.99%","175%+ Review")))))</x:f>
        <x:v>80%-99.99%</x:v>
      </x:c>
      <x:c r="M362" s="56" t="str">
        <x:v>Ready for Commission Calculation</x:v>
      </x:c>
      <x:c r="N362" s="74" t="n">
        <x:f>IF(E362&lt;=0,0,MIN(G362,E362*0.8)*0.01+MAX(0,MIN(G362,E362)-E362*0.8)*0.02)</x:f>
        <x:v>1071.5184</x:v>
      </x:c>
      <x:c r="O362" s="74" t="n">
        <x:f>IF(E362&lt;=0,0,MAX(0,MIN(G362,E362*1.1)-E362)*0.035+MAX(0,G362-E362*1.1)*0.05)</x:f>
        <x:v>0</x:v>
      </x:c>
      <x:c r="P362" s="74" t="n">
        <x:f>N362+O362</x:f>
        <x:v>1071.5184</x:v>
      </x:c>
      <x:c r="Q362" s="76" t="n">
        <x:f>IF(G362&lt;=0,0,P362/G362)</x:f>
        <x:v>0.01187200130473436</x:v>
      </x:c>
    </x:row>
    <x:row r="363">
      <x:c r="A363" s="56" t="str">
        <x:v>EMP031</x:v>
      </x:c>
      <x:c r="B363" s="56" t="str">
        <x:v>Kevin Tran</x:v>
      </x:c>
      <x:c r="C363" s="56" t="str">
        <x:v>AE II</x:v>
      </x:c>
      <x:c r="D363" s="56" t="str">
        <x:v>2026-02</x:v>
      </x:c>
      <x:c r="E363" s="72" t="n">
        <x:v>91700.00000000001</x:v>
      </x:c>
      <x:c r="F363" s="72" t="n">
        <x:v>101510.3</x:v>
      </x:c>
      <x:c r="G363" s="72" t="n">
        <x:v>101510.3</x:v>
      </x:c>
      <x:c r="H363" s="72" t="n">
        <x:v>0</x:v>
      </x:c>
      <x:c r="I363" s="56" t="n">
        <x:v>0</x:v>
      </x:c>
      <x:c r="J363" s="56" t="n">
        <x:v>0</x:v>
      </x:c>
      <x:c r="K363" s="68" t="n">
        <x:f>IF(E363&lt;=0,"",G363/E363)</x:f>
        <x:v>1.1069825517993455</x:v>
      </x:c>
      <x:c r="L363" t="str">
        <x:f>IF(K363="","Not Calculated",IF(K363&lt;0.8,"Below 80%",IF(K363&lt;1,"80%-99.99%",IF(K363&lt;1.1,"100%-109.99%",IF(K363&lt;1.75,"110%-174.99%","175%+ Review")))))</x:f>
        <x:v>110%-174.99%</x:v>
      </x:c>
      <x:c r="M363" s="56" t="str">
        <x:v>Ready for Commission Calculation</x:v>
      </x:c>
      <x:c r="N363" s="74" t="n">
        <x:f>IF(E363&lt;=0,0,MIN(G363,E363*0.8)*0.01+MAX(0,MIN(G363,E363)-E363*0.8)*0.02)</x:f>
        <x:v>1100.4</x:v>
      </x:c>
      <x:c r="O363" s="74" t="n">
        <x:f>IF(E363&lt;=0,0,MAX(0,MIN(G363,E363*1.1)-E363)*0.035+MAX(0,G363-E363*1.1)*0.05)</x:f>
        <x:v>352.96499999999924</x:v>
      </x:c>
      <x:c r="P363" s="74" t="n">
        <x:f>N363+O363</x:f>
        <x:v>1453.3649999999993</x:v>
      </x:c>
      <x:c r="Q363" s="76" t="n">
        <x:f>IF(G363&lt;=0,0,P363/G363)</x:f>
        <x:v>0.01431741409492435</x:v>
      </x:c>
    </x:row>
    <x:row r="364">
      <x:c r="A364" s="56" t="str">
        <x:v>EMP031</x:v>
      </x:c>
      <x:c r="B364" s="56" t="str">
        <x:v>Kevin Tran</x:v>
      </x:c>
      <x:c r="C364" s="56" t="str">
        <x:v>AE II</x:v>
      </x:c>
      <x:c r="D364" s="56" t="str">
        <x:v>2026-03</x:v>
      </x:c>
      <x:c r="E364" s="72" t="n">
        <x:v>104800</x:v>
      </x:c>
      <x:c r="F364" s="72" t="n">
        <x:v>105794.29999999999</x:v>
      </x:c>
      <x:c r="G364" s="72" t="n">
        <x:v>104783.54000000001</x:v>
      </x:c>
      <x:c r="H364" s="72" t="n">
        <x:v>1010.76</x:v>
      </x:c>
      <x:c r="I364" s="56" t="n">
        <x:v>0</x:v>
      </x:c>
      <x:c r="J364" s="56" t="n">
        <x:v>0</x:v>
      </x:c>
      <x:c r="K364" s="68" t="n">
        <x:f>IF(E364&lt;=0,"",G364/E364)</x:f>
        <x:v>0.9998429389312978</x:v>
      </x:c>
      <x:c r="L364" t="str">
        <x:f>IF(K364="","Not Calculated",IF(K364&lt;0.8,"Below 80%",IF(K364&lt;1,"80%-99.99%",IF(K364&lt;1.1,"100%-109.99%",IF(K364&lt;1.75,"110%-174.99%","175%+ Review")))))</x:f>
        <x:v>80%-99.99%</x:v>
      </x:c>
      <x:c r="M364" s="56" t="str">
        <x:v>Ready for Commission Calculation</x:v>
      </x:c>
      <x:c r="N364" s="74" t="n">
        <x:f>IF(E364&lt;=0,0,MIN(G364,E364*0.8)*0.01+MAX(0,MIN(G364,E364)-E364*0.8)*0.02)</x:f>
        <x:v>1257.2708000000002</x:v>
      </x:c>
      <x:c r="O364" s="74" t="n">
        <x:f>IF(E364&lt;=0,0,MAX(0,MIN(G364,E364*1.1)-E364)*0.035+MAX(0,G364-E364*1.1)*0.05)</x:f>
        <x:v>0</x:v>
      </x:c>
      <x:c r="P364" s="74" t="n">
        <x:f>N364+O364</x:f>
        <x:v>1257.2708000000002</x:v>
      </x:c>
      <x:c r="Q364" s="76" t="n">
        <x:f>IF(G364&lt;=0,0,P364/G364)</x:f>
        <x:v>0.011998743314073948</x:v>
      </x:c>
    </x:row>
    <x:row r="365">
      <x:c r="A365" s="56" t="str">
        <x:v>EMP031</x:v>
      </x:c>
      <x:c r="B365" s="56" t="str">
        <x:v>Kevin Tran</x:v>
      </x:c>
      <x:c r="C365" s="56" t="str">
        <x:v>AE II</x:v>
      </x:c>
      <x:c r="D365" s="56" t="str">
        <x:v>2026-04</x:v>
      </x:c>
      <x:c r="E365" s="72" t="n">
        <x:v>104800</x:v>
      </x:c>
      <x:c r="F365" s="72" t="n">
        <x:v>114897.09</x:v>
      </x:c>
      <x:c r="G365" s="72" t="n">
        <x:v>114796.32999999999</x:v>
      </x:c>
      <x:c r="H365" s="72" t="n">
        <x:v>100.76</x:v>
      </x:c>
      <x:c r="I365" s="56" t="n">
        <x:v>0</x:v>
      </x:c>
      <x:c r="J365" s="56" t="n">
        <x:v>0</x:v>
      </x:c>
      <x:c r="K365" s="68" t="n">
        <x:f>IF(E365&lt;=0,"",G365/E365)</x:f>
        <x:v>1.0953848282442746</x:v>
      </x:c>
      <x:c r="L365" t="str">
        <x:f>IF(K365="","Not Calculated",IF(K365&lt;0.8,"Below 80%",IF(K365&lt;1,"80%-99.99%",IF(K365&lt;1.1,"100%-109.99%",IF(K365&lt;1.75,"110%-174.99%","175%+ Review")))))</x:f>
        <x:v>100%-109.99%</x:v>
      </x:c>
      <x:c r="M365" s="56" t="str">
        <x:v>Ready for Commission Calculation</x:v>
      </x:c>
      <x:c r="N365" s="74" t="n">
        <x:f>IF(E365&lt;=0,0,MIN(G365,E365*0.8)*0.01+MAX(0,MIN(G365,E365)-E365*0.8)*0.02)</x:f>
        <x:v>1257.6</x:v>
      </x:c>
      <x:c r="O365" s="74" t="n">
        <x:f>IF(E365&lt;=0,0,MAX(0,MIN(G365,E365*1.1)-E365)*0.035+MAX(0,G365-E365*1.1)*0.05)</x:f>
        <x:v>349.87154999999956</x:v>
      </x:c>
      <x:c r="P365" s="74" t="n">
        <x:f>N365+O365</x:f>
        <x:v>1607.4715499999995</x:v>
      </x:c>
      <x:c r="Q365" s="76" t="n">
        <x:f>IF(G365&lt;=0,0,P365/G365)</x:f>
        <x:v>0.014002813069024069</x:v>
      </x:c>
    </x:row>
    <x:row r="366">
      <x:c r="A366" s="56" t="str">
        <x:v>EMP031</x:v>
      </x:c>
      <x:c r="B366" s="56" t="str">
        <x:v>Kevin Tran</x:v>
      </x:c>
      <x:c r="C366" s="56" t="str">
        <x:v>AE II</x:v>
      </x:c>
      <x:c r="D366" s="56" t="str">
        <x:v>2026-05</x:v>
      </x:c>
      <x:c r="E366" s="72" t="n">
        <x:v>104800</x:v>
      </x:c>
      <x:c r="F366" s="72" t="n">
        <x:v>123394.26999999997</x:v>
      </x:c>
      <x:c r="G366" s="72" t="n">
        <x:v>121922.14999999998</x:v>
      </x:c>
      <x:c r="H366" s="72" t="n">
        <x:v>1472.12</x:v>
      </x:c>
      <x:c r="I366" s="56" t="n">
        <x:v>0</x:v>
      </x:c>
      <x:c r="J366" s="56" t="n">
        <x:v>0</x:v>
      </x:c>
      <x:c r="K366" s="68" t="n">
        <x:f>IF(E366&lt;=0,"",G366/E366)</x:f>
        <x:v>1.1633792938931296</x:v>
      </x:c>
      <x:c r="L366" t="str">
        <x:f>IF(K366="","Not Calculated",IF(K366&lt;0.8,"Below 80%",IF(K366&lt;1,"80%-99.99%",IF(K366&lt;1.1,"100%-109.99%",IF(K366&lt;1.75,"110%-174.99%","175%+ Review")))))</x:f>
        <x:v>110%-174.99%</x:v>
      </x:c>
      <x:c r="M366" s="56" t="str">
        <x:v>Ready for Commission Calculation</x:v>
      </x:c>
      <x:c r="N366" s="74" t="n">
        <x:f>IF(E366&lt;=0,0,MIN(G366,E366*0.8)*0.01+MAX(0,MIN(G366,E366)-E366*0.8)*0.02)</x:f>
        <x:v>1257.6</x:v>
      </x:c>
      <x:c r="O366" s="74" t="n">
        <x:f>IF(E366&lt;=0,0,MAX(0,MIN(G366,E366*1.1)-E366)*0.035+MAX(0,G366-E366*1.1)*0.05)</x:f>
        <x:v>698.9074999999988</x:v>
      </x:c>
      <x:c r="P366" s="74" t="n">
        <x:f>N366+O366</x:f>
        <x:v>1956.5074999999988</x:v>
      </x:c>
      <x:c r="Q366" s="76" t="n">
        <x:f>IF(G366&lt;=0,0,P366/G366)</x:f>
        <x:v>0.016047186667886015</x:v>
      </x:c>
    </x:row>
    <x:row r="367">
      <x:c r="A367" s="56" t="str">
        <x:v>EMP031</x:v>
      </x:c>
      <x:c r="B367" s="56" t="str">
        <x:v>Kevin Tran</x:v>
      </x:c>
      <x:c r="C367" s="56" t="str">
        <x:v>AE II</x:v>
      </x:c>
      <x:c r="D367" s="56" t="str">
        <x:v>2026-06</x:v>
      </x:c>
      <x:c r="E367" s="72" t="n">
        <x:v>117900</x:v>
      </x:c>
      <x:c r="F367" s="72" t="n">
        <x:v>125037.78</x:v>
      </x:c>
      <x:c r="G367" s="72" t="n">
        <x:v>125037.78</x:v>
      </x:c>
      <x:c r="H367" s="72" t="n">
        <x:v>0</x:v>
      </x:c>
      <x:c r="I367" s="56" t="n">
        <x:v>0</x:v>
      </x:c>
      <x:c r="J367" s="56" t="n">
        <x:v>0</x:v>
      </x:c>
      <x:c r="K367" s="68" t="n">
        <x:f>IF(E367&lt;=0,"",G367/E367)</x:f>
        <x:v>1.0605409669211197</x:v>
      </x:c>
      <x:c r="L367" t="str">
        <x:f>IF(K367="","Not Calculated",IF(K367&lt;0.8,"Below 80%",IF(K367&lt;1,"80%-99.99%",IF(K367&lt;1.1,"100%-109.99%",IF(K367&lt;1.75,"110%-174.99%","175%+ Review")))))</x:f>
        <x:v>100%-109.99%</x:v>
      </x:c>
      <x:c r="M367" s="56" t="str">
        <x:v>Ready for Commission Calculation</x:v>
      </x:c>
      <x:c r="N367" s="74" t="n">
        <x:f>IF(E367&lt;=0,0,MIN(G367,E367*0.8)*0.01+MAX(0,MIN(G367,E367)-E367*0.8)*0.02)</x:f>
        <x:v>1414.8000000000002</x:v>
      </x:c>
      <x:c r="O367" s="74" t="n">
        <x:f>IF(E367&lt;=0,0,MAX(0,MIN(G367,E367*1.1)-E367)*0.035+MAX(0,G367-E367*1.1)*0.05)</x:f>
        <x:v>249.82229999999998</x:v>
      </x:c>
      <x:c r="P367" s="74" t="n">
        <x:f>N367+O367</x:f>
        <x:v>1664.6223000000002</x:v>
      </x:c>
      <x:c r="Q367" s="76" t="n">
        <x:f>IF(G367&lt;=0,0,P367/G367)</x:f>
        <x:v>0.013312954692573719</x:v>
      </x:c>
    </x:row>
    <x:row r="368">
      <x:c r="A368" s="56" t="str">
        <x:v>EMP031</x:v>
      </x:c>
      <x:c r="B368" s="56" t="str">
        <x:v>Kevin Tran</x:v>
      </x:c>
      <x:c r="C368" s="56" t="str">
        <x:v>AE II</x:v>
      </x:c>
      <x:c r="D368" s="56" t="str">
        <x:v>2026-07</x:v>
      </x:c>
      <x:c r="E368" s="72" t="n">
        <x:v>91700.00000000001</x:v>
      </x:c>
      <x:c r="F368" s="72" t="n">
        <x:v>100452.73</x:v>
      </x:c>
      <x:c r="G368" s="72" t="n">
        <x:v>99885.72</x:v>
      </x:c>
      <x:c r="H368" s="72" t="n">
        <x:v>567.01</x:v>
      </x:c>
      <x:c r="I368" s="56" t="n">
        <x:v>0</x:v>
      </x:c>
      <x:c r="J368" s="56" t="n">
        <x:v>0</x:v>
      </x:c>
      <x:c r="K368" s="68" t="n">
        <x:f>IF(E368&lt;=0,"",G368/E368)</x:f>
        <x:v>1.0892663031624863</x:v>
      </x:c>
      <x:c r="L368" t="str">
        <x:f>IF(K368="","Not Calculated",IF(K368&lt;0.8,"Below 80%",IF(K368&lt;1,"80%-99.99%",IF(K368&lt;1.1,"100%-109.99%",IF(K368&lt;1.75,"110%-174.99%","175%+ Review")))))</x:f>
        <x:v>100%-109.99%</x:v>
      </x:c>
      <x:c r="M368" s="56" t="str">
        <x:v>Ready for Commission Calculation</x:v>
      </x:c>
      <x:c r="N368" s="74" t="n">
        <x:f>IF(E368&lt;=0,0,MIN(G368,E368*0.8)*0.01+MAX(0,MIN(G368,E368)-E368*0.8)*0.02)</x:f>
        <x:v>1100.4</x:v>
      </x:c>
      <x:c r="O368" s="74" t="n">
        <x:f>IF(E368&lt;=0,0,MAX(0,MIN(G368,E368*1.1)-E368)*0.035+MAX(0,G368-E368*1.1)*0.05)</x:f>
        <x:v>286.50019999999955</x:v>
      </x:c>
      <x:c r="P368" s="74" t="n">
        <x:f>N368+O368</x:f>
        <x:v>1386.9001999999996</x:v>
      </x:c>
      <x:c r="Q368" s="76" t="n">
        <x:f>IF(G368&lt;=0,0,P368/G368)</x:f>
        <x:v>0.013884869629012031</x:v>
      </x:c>
    </x:row>
    <x:row r="369">
      <x:c r="A369" s="56" t="str">
        <x:v>EMP031</x:v>
      </x:c>
      <x:c r="B369" s="56" t="str">
        <x:v>Kevin Tran</x:v>
      </x:c>
      <x:c r="C369" s="56" t="str">
        <x:v>AE II</x:v>
      </x:c>
      <x:c r="D369" s="56" t="str">
        <x:v>2026-08</x:v>
      </x:c>
      <x:c r="E369" s="72" t="n">
        <x:v>91700.00000000001</x:v>
      </x:c>
      <x:c r="F369" s="72" t="n">
        <x:v>89907.47000000002</x:v>
      </x:c>
      <x:c r="G369" s="72" t="n">
        <x:v>89449.17000000001</x:v>
      </x:c>
      <x:c r="H369" s="72" t="n">
        <x:v>458.3</x:v>
      </x:c>
      <x:c r="I369" s="56" t="n">
        <x:v>0</x:v>
      </x:c>
      <x:c r="J369" s="56" t="n">
        <x:v>0</x:v>
      </x:c>
      <x:c r="K369" s="68" t="n">
        <x:f>IF(E369&lt;=0,"",G369/E369)</x:f>
        <x:v>0.9754544165757906</x:v>
      </x:c>
      <x:c r="L369" t="str">
        <x:f>IF(K369="","Not Calculated",IF(K369&lt;0.8,"Below 80%",IF(K369&lt;1,"80%-99.99%",IF(K369&lt;1.1,"100%-109.99%",IF(K369&lt;1.75,"110%-174.99%","175%+ Review")))))</x:f>
        <x:v>80%-99.99%</x:v>
      </x:c>
      <x:c r="M369" s="56" t="str">
        <x:v>Ready for Commission Calculation</x:v>
      </x:c>
      <x:c r="N369" s="74" t="n">
        <x:f>IF(E369&lt;=0,0,MIN(G369,E369*0.8)*0.01+MAX(0,MIN(G369,E369)-E369*0.8)*0.02)</x:f>
        <x:v>1055.3834000000002</x:v>
      </x:c>
      <x:c r="O369" s="74" t="n">
        <x:f>IF(E369&lt;=0,0,MAX(0,MIN(G369,E369*1.1)-E369)*0.035+MAX(0,G369-E369*1.1)*0.05)</x:f>
        <x:v>0</x:v>
      </x:c>
      <x:c r="P369" s="74" t="n">
        <x:f>N369+O369</x:f>
        <x:v>1055.3834000000002</x:v>
      </x:c>
      <x:c r="Q369" s="76" t="n">
        <x:f>IF(G369&lt;=0,0,P369/G369)</x:f>
        <x:v>0.011798694163400287</x:v>
      </x:c>
    </x:row>
    <x:row r="370">
      <x:c r="A370" s="56" t="str">
        <x:v>EMP031</x:v>
      </x:c>
      <x:c r="B370" s="56" t="str">
        <x:v>Kevin Tran</x:v>
      </x:c>
      <x:c r="C370" s="56" t="str">
        <x:v>AE II</x:v>
      </x:c>
      <x:c r="D370" s="56" t="str">
        <x:v>2026-09</x:v>
      </x:c>
      <x:c r="E370" s="72" t="n">
        <x:v>52400</x:v>
      </x:c>
      <x:c r="F370" s="72" t="n">
        <x:v>71633.05</x:v>
      </x:c>
      <x:c r="G370" s="72" t="n">
        <x:v>53147.770000000004</x:v>
      </x:c>
      <x:c r="H370" s="72" t="n">
        <x:v>85.28</x:v>
      </x:c>
      <x:c r="I370" s="56" t="n">
        <x:v>0</x:v>
      </x:c>
      <x:c r="J370" s="56" t="n">
        <x:v>1</x:v>
      </x:c>
      <x:c r="K370" s="68" t="n">
        <x:f>IF(E370&lt;=0,"",G370/E370)</x:f>
        <x:v>1.0142704198473282</x:v>
      </x:c>
      <x:c r="L370" t="str">
        <x:f>IF(K370="","Not Calculated",IF(K370&lt;0.8,"Below 80%",IF(K370&lt;1,"80%-99.99%",IF(K370&lt;1.1,"100%-109.99%",IF(K370&lt;1.75,"110%-174.99%","175%+ Review")))))</x:f>
        <x:v>100%-109.99%</x:v>
      </x:c>
      <x:c r="M370" s="56" t="str">
        <x:v>HOLD - Sales Credit</x:v>
      </x:c>
      <x:c r="N370" s="74" t="n">
        <x:f>IF(E370&lt;=0,0,MIN(G370,E370*0.8)*0.01+MAX(0,MIN(G370,E370)-E370*0.8)*0.02)</x:f>
        <x:v>628.8</x:v>
      </x:c>
      <x:c r="O370" s="74" t="n">
        <x:f>IF(E370&lt;=0,0,MAX(0,MIN(G370,E370*1.1)-E370)*0.035+MAX(0,G370-E370*1.1)*0.05)</x:f>
        <x:v>26.171950000000145</x:v>
      </x:c>
      <x:c r="P370" s="74" t="n">
        <x:f>N370+O370</x:f>
        <x:v>654.9719500000001</x:v>
      </x:c>
      <x:c r="Q370" s="76" t="n">
        <x:f>IF(G370&lt;=0,0,P370/G370)</x:f>
        <x:v>0.012323601724023418</x:v>
      </x:c>
    </x:row>
    <x:row r="371">
      <x:c r="A371" s="56" t="str">
        <x:v>EMP031</x:v>
      </x:c>
      <x:c r="B371" s="56" t="str">
        <x:v>Kevin Tran</x:v>
      </x:c>
      <x:c r="C371" s="56" t="str">
        <x:v>AE II</x:v>
      </x:c>
      <x:c r="D371" s="56" t="str">
        <x:v>2026-10</x:v>
      </x:c>
      <x:c r="E371" s="72" t="n">
        <x:v>0</x:v>
      </x:c>
      <x:c r="F371" s="72" t="n">
        <x:v>0</x:v>
      </x:c>
      <x:c r="G371" s="72" t="n">
        <x:v>0</x:v>
      </x:c>
      <x:c r="H371" s="72" t="n">
        <x:v>0</x:v>
      </x:c>
      <x:c r="I371" s="56" t="n">
        <x:v>0</x:v>
      </x:c>
      <x:c r="J371" s="56" t="n">
        <x:v>0</x:v>
      </x:c>
      <x:c r="K371" s="68" t="str">
        <x:f>IF(E371&lt;=0,"",G371/E371)</x:f>
      </x:c>
      <x:c r="L371" t="str">
        <x:f>IF(K371="","Not Calculated",IF(K371&lt;0.8,"Below 80%",IF(K371&lt;1,"80%-99.99%",IF(K371&lt;1.1,"100%-109.99%",IF(K371&lt;1.75,"110%-174.99%","175%+ Review")))))</x:f>
        <x:v>Not Calculated</x:v>
      </x:c>
      <x:c r="M371" s="56" t="str">
        <x:v>Not Applicable</x:v>
      </x:c>
      <x:c r="N371" s="74" t="n">
        <x:f>IF(E371&lt;=0,0,MIN(G371,E371*0.8)*0.01+MAX(0,MIN(G371,E371)-E371*0.8)*0.02)</x:f>
        <x:v>0</x:v>
      </x:c>
      <x:c r="O371" s="74" t="n">
        <x:f>IF(E371&lt;=0,0,MAX(0,MIN(G371,E371*1.1)-E371)*0.035+MAX(0,G371-E371*1.1)*0.05)</x:f>
        <x:v>0</x:v>
      </x:c>
      <x:c r="P371" s="74" t="n">
        <x:f>N371+O371</x:f>
        <x:v>0</x:v>
      </x:c>
      <x:c r="Q371" s="76" t="n">
        <x:f>IF(G371&lt;=0,0,P371/G371)</x:f>
        <x:v>0</x:v>
      </x:c>
    </x:row>
    <x:row r="372">
      <x:c r="A372" s="56" t="str">
        <x:v>EMP031</x:v>
      </x:c>
      <x:c r="B372" s="56" t="str">
        <x:v>Kevin Tran</x:v>
      </x:c>
      <x:c r="C372" s="56" t="str">
        <x:v>AE II</x:v>
      </x:c>
      <x:c r="D372" s="56" t="str">
        <x:v>2026-11</x:v>
      </x:c>
      <x:c r="E372" s="72" t="n">
        <x:v>0</x:v>
      </x:c>
      <x:c r="F372" s="72" t="n">
        <x:v>0</x:v>
      </x:c>
      <x:c r="G372" s="72" t="n">
        <x:v>0</x:v>
      </x:c>
      <x:c r="H372" s="72" t="n">
        <x:v>0</x:v>
      </x:c>
      <x:c r="I372" s="56" t="n">
        <x:v>0</x:v>
      </x:c>
      <x:c r="J372" s="56" t="n">
        <x:v>0</x:v>
      </x:c>
      <x:c r="K372" s="68" t="str">
        <x:f>IF(E372&lt;=0,"",G372/E372)</x:f>
      </x:c>
      <x:c r="L372" t="str">
        <x:f>IF(K372="","Not Calculated",IF(K372&lt;0.8,"Below 80%",IF(K372&lt;1,"80%-99.99%",IF(K372&lt;1.1,"100%-109.99%",IF(K372&lt;1.75,"110%-174.99%","175%+ Review")))))</x:f>
        <x:v>Not Calculated</x:v>
      </x:c>
      <x:c r="M372" s="56" t="str">
        <x:v>Not Applicable</x:v>
      </x:c>
      <x:c r="N372" s="74" t="n">
        <x:f>IF(E372&lt;=0,0,MIN(G372,E372*0.8)*0.01+MAX(0,MIN(G372,E372)-E372*0.8)*0.02)</x:f>
        <x:v>0</x:v>
      </x:c>
      <x:c r="O372" s="74" t="n">
        <x:f>IF(E372&lt;=0,0,MAX(0,MIN(G372,E372*1.1)-E372)*0.035+MAX(0,G372-E372*1.1)*0.05)</x:f>
        <x:v>0</x:v>
      </x:c>
      <x:c r="P372" s="74" t="n">
        <x:f>N372+O372</x:f>
        <x:v>0</x:v>
      </x:c>
      <x:c r="Q372" s="76" t="n">
        <x:f>IF(G372&lt;=0,0,P372/G372)</x:f>
        <x:v>0</x:v>
      </x:c>
    </x:row>
    <x:row r="373">
      <x:c r="A373" s="56" t="str">
        <x:v>EMP031</x:v>
      </x:c>
      <x:c r="B373" s="56" t="str">
        <x:v>Kevin Tran</x:v>
      </x:c>
      <x:c r="C373" s="56" t="str">
        <x:v>AE II</x:v>
      </x:c>
      <x:c r="D373" s="56" t="str">
        <x:v>2026-12</x:v>
      </x:c>
      <x:c r="E373" s="72" t="n">
        <x:v>0</x:v>
      </x:c>
      <x:c r="F373" s="72" t="n">
        <x:v>0</x:v>
      </x:c>
      <x:c r="G373" s="72" t="n">
        <x:v>0</x:v>
      </x:c>
      <x:c r="H373" s="72" t="n">
        <x:v>0</x:v>
      </x:c>
      <x:c r="I373" s="56" t="n">
        <x:v>0</x:v>
      </x:c>
      <x:c r="J373" s="56" t="n">
        <x:v>0</x:v>
      </x:c>
      <x:c r="K373" s="68" t="str">
        <x:f>IF(E373&lt;=0,"",G373/E373)</x:f>
      </x:c>
      <x:c r="L373" t="str">
        <x:f>IF(K373="","Not Calculated",IF(K373&lt;0.8,"Below 80%",IF(K373&lt;1,"80%-99.99%",IF(K373&lt;1.1,"100%-109.99%",IF(K373&lt;1.75,"110%-174.99%","175%+ Review")))))</x:f>
        <x:v>Not Calculated</x:v>
      </x:c>
      <x:c r="M373" s="56" t="str">
        <x:v>Not Applicable</x:v>
      </x:c>
      <x:c r="N373" s="74" t="n">
        <x:f>IF(E373&lt;=0,0,MIN(G373,E373*0.8)*0.01+MAX(0,MIN(G373,E373)-E373*0.8)*0.02)</x:f>
        <x:v>0</x:v>
      </x:c>
      <x:c r="O373" s="74" t="n">
        <x:f>IF(E373&lt;=0,0,MAX(0,MIN(G373,E373*1.1)-E373)*0.035+MAX(0,G373-E373*1.1)*0.05)</x:f>
        <x:v>0</x:v>
      </x:c>
      <x:c r="P373" s="74" t="n">
        <x:f>N373+O373</x:f>
        <x:v>0</x:v>
      </x:c>
      <x:c r="Q373" s="76" t="n">
        <x:f>IF(G373&lt;=0,0,P373/G373)</x:f>
        <x:v>0</x:v>
      </x:c>
    </x:row>
    <x:row r="374">
      <x:c r="A374" s="56" t="str">
        <x:v>EMP032</x:v>
      </x:c>
      <x:c r="B374" s="56" t="str">
        <x:v>Zoe Anderson</x:v>
      </x:c>
      <x:c r="C374" s="56" t="str">
        <x:v>AE II</x:v>
      </x:c>
      <x:c r="D374" s="56" t="str">
        <x:v>2026-01</x:v>
      </x:c>
      <x:c r="E374" s="72" t="n">
        <x:v>0</x:v>
      </x:c>
      <x:c r="F374" s="72" t="n">
        <x:v>0</x:v>
      </x:c>
      <x:c r="G374" s="72" t="n">
        <x:v>0</x:v>
      </x:c>
      <x:c r="H374" s="72" t="n">
        <x:v>0</x:v>
      </x:c>
      <x:c r="I374" s="56" t="n">
        <x:v>0</x:v>
      </x:c>
      <x:c r="J374" s="56" t="n">
        <x:v>0</x:v>
      </x:c>
      <x:c r="K374" s="68" t="str">
        <x:f>IF(E374&lt;=0,"",G374/E374)</x:f>
      </x:c>
      <x:c r="L374" t="str">
        <x:f>IF(K374="","Not Calculated",IF(K374&lt;0.8,"Below 80%",IF(K374&lt;1,"80%-99.99%",IF(K374&lt;1.1,"100%-109.99%",IF(K374&lt;1.75,"110%-174.99%","175%+ Review")))))</x:f>
        <x:v>Not Calculated</x:v>
      </x:c>
      <x:c r="M374" s="56" t="str">
        <x:v>Not Applicable</x:v>
      </x:c>
      <x:c r="N374" s="74" t="n">
        <x:f>IF(E374&lt;=0,0,MIN(G374,E374*0.8)*0.01+MAX(0,MIN(G374,E374)-E374*0.8)*0.02)</x:f>
        <x:v>0</x:v>
      </x:c>
      <x:c r="O374" s="74" t="n">
        <x:f>IF(E374&lt;=0,0,MAX(0,MIN(G374,E374*1.1)-E374)*0.035+MAX(0,G374-E374*1.1)*0.05)</x:f>
        <x:v>0</x:v>
      </x:c>
      <x:c r="P374" s="74" t="n">
        <x:f>N374+O374</x:f>
        <x:v>0</x:v>
      </x:c>
      <x:c r="Q374" s="76" t="n">
        <x:f>IF(G374&lt;=0,0,P374/G374)</x:f>
        <x:v>0</x:v>
      </x:c>
    </x:row>
    <x:row r="375">
      <x:c r="A375" s="56" t="str">
        <x:v>EMP032</x:v>
      </x:c>
      <x:c r="B375" s="56" t="str">
        <x:v>Zoe Anderson</x:v>
      </x:c>
      <x:c r="C375" s="56" t="str">
        <x:v>AE II</x:v>
      </x:c>
      <x:c r="D375" s="56" t="str">
        <x:v>2026-02</x:v>
      </x:c>
      <x:c r="E375" s="72" t="n">
        <x:v>0</x:v>
      </x:c>
      <x:c r="F375" s="72" t="n">
        <x:v>0</x:v>
      </x:c>
      <x:c r="G375" s="72" t="n">
        <x:v>0</x:v>
      </x:c>
      <x:c r="H375" s="72" t="n">
        <x:v>0</x:v>
      </x:c>
      <x:c r="I375" s="56" t="n">
        <x:v>0</x:v>
      </x:c>
      <x:c r="J375" s="56" t="n">
        <x:v>0</x:v>
      </x:c>
      <x:c r="K375" s="68" t="str">
        <x:f>IF(E375&lt;=0,"",G375/E375)</x:f>
      </x:c>
      <x:c r="L375" t="str">
        <x:f>IF(K375="","Not Calculated",IF(K375&lt;0.8,"Below 80%",IF(K375&lt;1,"80%-99.99%",IF(K375&lt;1.1,"100%-109.99%",IF(K375&lt;1.75,"110%-174.99%","175%+ Review")))))</x:f>
        <x:v>Not Calculated</x:v>
      </x:c>
      <x:c r="M375" s="56" t="str">
        <x:v>Not Applicable</x:v>
      </x:c>
      <x:c r="N375" s="74" t="n">
        <x:f>IF(E375&lt;=0,0,MIN(G375,E375*0.8)*0.01+MAX(0,MIN(G375,E375)-E375*0.8)*0.02)</x:f>
        <x:v>0</x:v>
      </x:c>
      <x:c r="O375" s="74" t="n">
        <x:f>IF(E375&lt;=0,0,MAX(0,MIN(G375,E375*1.1)-E375)*0.035+MAX(0,G375-E375*1.1)*0.05)</x:f>
        <x:v>0</x:v>
      </x:c>
      <x:c r="P375" s="74" t="n">
        <x:f>N375+O375</x:f>
        <x:v>0</x:v>
      </x:c>
      <x:c r="Q375" s="76" t="n">
        <x:f>IF(G375&lt;=0,0,P375/G375)</x:f>
        <x:v>0</x:v>
      </x:c>
    </x:row>
    <x:row r="376">
      <x:c r="A376" s="56" t="str">
        <x:v>EMP032</x:v>
      </x:c>
      <x:c r="B376" s="56" t="str">
        <x:v>Zoe Anderson</x:v>
      </x:c>
      <x:c r="C376" s="56" t="str">
        <x:v>AE II</x:v>
      </x:c>
      <x:c r="D376" s="56" t="str">
        <x:v>2026-03</x:v>
      </x:c>
      <x:c r="E376" s="72" t="n">
        <x:v>0</x:v>
      </x:c>
      <x:c r="F376" s="72" t="n">
        <x:v>0</x:v>
      </x:c>
      <x:c r="G376" s="72" t="n">
        <x:v>0</x:v>
      </x:c>
      <x:c r="H376" s="72" t="n">
        <x:v>0</x:v>
      </x:c>
      <x:c r="I376" s="56" t="n">
        <x:v>0</x:v>
      </x:c>
      <x:c r="J376" s="56" t="n">
        <x:v>0</x:v>
      </x:c>
      <x:c r="K376" s="68" t="str">
        <x:f>IF(E376&lt;=0,"",G376/E376)</x:f>
      </x:c>
      <x:c r="L376" t="str">
        <x:f>IF(K376="","Not Calculated",IF(K376&lt;0.8,"Below 80%",IF(K376&lt;1,"80%-99.99%",IF(K376&lt;1.1,"100%-109.99%",IF(K376&lt;1.75,"110%-174.99%","175%+ Review")))))</x:f>
        <x:v>Not Calculated</x:v>
      </x:c>
      <x:c r="M376" s="56" t="str">
        <x:v>Not Applicable</x:v>
      </x:c>
      <x:c r="N376" s="74" t="n">
        <x:f>IF(E376&lt;=0,0,MIN(G376,E376*0.8)*0.01+MAX(0,MIN(G376,E376)-E376*0.8)*0.02)</x:f>
        <x:v>0</x:v>
      </x:c>
      <x:c r="O376" s="74" t="n">
        <x:f>IF(E376&lt;=0,0,MAX(0,MIN(G376,E376*1.1)-E376)*0.035+MAX(0,G376-E376*1.1)*0.05)</x:f>
        <x:v>0</x:v>
      </x:c>
      <x:c r="P376" s="74" t="n">
        <x:f>N376+O376</x:f>
        <x:v>0</x:v>
      </x:c>
      <x:c r="Q376" s="76" t="n">
        <x:f>IF(G376&lt;=0,0,P376/G376)</x:f>
        <x:v>0</x:v>
      </x:c>
    </x:row>
    <x:row r="377">
      <x:c r="A377" s="56" t="str">
        <x:v>EMP032</x:v>
      </x:c>
      <x:c r="B377" s="56" t="str">
        <x:v>Zoe Anderson</x:v>
      </x:c>
      <x:c r="C377" s="56" t="str">
        <x:v>AE II</x:v>
      </x:c>
      <x:c r="D377" s="56" t="str">
        <x:v>2026-04</x:v>
      </x:c>
      <x:c r="E377" s="72" t="n">
        <x:v>0</x:v>
      </x:c>
      <x:c r="F377" s="72" t="n">
        <x:v>0</x:v>
      </x:c>
      <x:c r="G377" s="72" t="n">
        <x:v>0</x:v>
      </x:c>
      <x:c r="H377" s="72" t="n">
        <x:v>0</x:v>
      </x:c>
      <x:c r="I377" s="56" t="n">
        <x:v>0</x:v>
      </x:c>
      <x:c r="J377" s="56" t="n">
        <x:v>0</x:v>
      </x:c>
      <x:c r="K377" s="68" t="str">
        <x:f>IF(E377&lt;=0,"",G377/E377)</x:f>
      </x:c>
      <x:c r="L377" t="str">
        <x:f>IF(K377="","Not Calculated",IF(K377&lt;0.8,"Below 80%",IF(K377&lt;1,"80%-99.99%",IF(K377&lt;1.1,"100%-109.99%",IF(K377&lt;1.75,"110%-174.99%","175%+ Review")))))</x:f>
        <x:v>Not Calculated</x:v>
      </x:c>
      <x:c r="M377" s="56" t="str">
        <x:v>Not Applicable</x:v>
      </x:c>
      <x:c r="N377" s="74" t="n">
        <x:f>IF(E377&lt;=0,0,MIN(G377,E377*0.8)*0.01+MAX(0,MIN(G377,E377)-E377*0.8)*0.02)</x:f>
        <x:v>0</x:v>
      </x:c>
      <x:c r="O377" s="74" t="n">
        <x:f>IF(E377&lt;=0,0,MAX(0,MIN(G377,E377*1.1)-E377)*0.035+MAX(0,G377-E377*1.1)*0.05)</x:f>
        <x:v>0</x:v>
      </x:c>
      <x:c r="P377" s="74" t="n">
        <x:f>N377+O377</x:f>
        <x:v>0</x:v>
      </x:c>
      <x:c r="Q377" s="76" t="n">
        <x:f>IF(G377&lt;=0,0,P377/G377)</x:f>
        <x:v>0</x:v>
      </x:c>
    </x:row>
    <x:row r="378">
      <x:c r="A378" s="56" t="str">
        <x:v>EMP032</x:v>
      </x:c>
      <x:c r="B378" s="56" t="str">
        <x:v>Zoe Anderson</x:v>
      </x:c>
      <x:c r="C378" s="56" t="str">
        <x:v>AE II</x:v>
      </x:c>
      <x:c r="D378" s="56" t="str">
        <x:v>2026-05</x:v>
      </x:c>
      <x:c r="E378" s="72" t="n">
        <x:v>0</x:v>
      </x:c>
      <x:c r="F378" s="72" t="n">
        <x:v>0</x:v>
      </x:c>
      <x:c r="G378" s="72" t="n">
        <x:v>0</x:v>
      </x:c>
      <x:c r="H378" s="72" t="n">
        <x:v>0</x:v>
      </x:c>
      <x:c r="I378" s="56" t="n">
        <x:v>0</x:v>
      </x:c>
      <x:c r="J378" s="56" t="n">
        <x:v>0</x:v>
      </x:c>
      <x:c r="K378" s="68" t="str">
        <x:f>IF(E378&lt;=0,"",G378/E378)</x:f>
      </x:c>
      <x:c r="L378" t="str">
        <x:f>IF(K378="","Not Calculated",IF(K378&lt;0.8,"Below 80%",IF(K378&lt;1,"80%-99.99%",IF(K378&lt;1.1,"100%-109.99%",IF(K378&lt;1.75,"110%-174.99%","175%+ Review")))))</x:f>
        <x:v>Not Calculated</x:v>
      </x:c>
      <x:c r="M378" s="56" t="str">
        <x:v>Not Applicable</x:v>
      </x:c>
      <x:c r="N378" s="74" t="n">
        <x:f>IF(E378&lt;=0,0,MIN(G378,E378*0.8)*0.01+MAX(0,MIN(G378,E378)-E378*0.8)*0.02)</x:f>
        <x:v>0</x:v>
      </x:c>
      <x:c r="O378" s="74" t="n">
        <x:f>IF(E378&lt;=0,0,MAX(0,MIN(G378,E378*1.1)-E378)*0.035+MAX(0,G378-E378*1.1)*0.05)</x:f>
        <x:v>0</x:v>
      </x:c>
      <x:c r="P378" s="74" t="n">
        <x:f>N378+O378</x:f>
        <x:v>0</x:v>
      </x:c>
      <x:c r="Q378" s="76" t="n">
        <x:f>IF(G378&lt;=0,0,P378/G378)</x:f>
        <x:v>0</x:v>
      </x:c>
    </x:row>
    <x:row r="379">
      <x:c r="A379" s="56" t="str">
        <x:v>EMP032</x:v>
      </x:c>
      <x:c r="B379" s="56" t="str">
        <x:v>Zoe Anderson</x:v>
      </x:c>
      <x:c r="C379" s="56" t="str">
        <x:v>AE II</x:v>
      </x:c>
      <x:c r="D379" s="56" t="str">
        <x:v>2026-06</x:v>
      </x:c>
      <x:c r="E379" s="72" t="n">
        <x:v>29520</x:v>
      </x:c>
      <x:c r="F379" s="72" t="n">
        <x:v>25426.88</x:v>
      </x:c>
      <x:c r="G379" s="72" t="n">
        <x:v>25426.88</x:v>
      </x:c>
      <x:c r="H379" s="72" t="n">
        <x:v>0</x:v>
      </x:c>
      <x:c r="I379" s="56" t="n">
        <x:v>0</x:v>
      </x:c>
      <x:c r="J379" s="56" t="n">
        <x:v>0</x:v>
      </x:c>
      <x:c r="K379" s="68" t="n">
        <x:f>IF(E379&lt;=0,"",G379/E379)</x:f>
        <x:v>0.8613441734417344</x:v>
      </x:c>
      <x:c r="L379" t="str">
        <x:f>IF(K379="","Not Calculated",IF(K379&lt;0.8,"Below 80%",IF(K379&lt;1,"80%-99.99%",IF(K379&lt;1.1,"100%-109.99%",IF(K379&lt;1.75,"110%-174.99%","175%+ Review")))))</x:f>
        <x:v>80%-99.99%</x:v>
      </x:c>
      <x:c r="M379" s="56" t="str">
        <x:v>Ready for Commission Calculation</x:v>
      </x:c>
      <x:c r="N379" s="74" t="n">
        <x:f>IF(E379&lt;=0,0,MIN(G379,E379*0.8)*0.01+MAX(0,MIN(G379,E379)-E379*0.8)*0.02)</x:f>
        <x:v>272.37760000000003</x:v>
      </x:c>
      <x:c r="O379" s="74" t="n">
        <x:f>IF(E379&lt;=0,0,MAX(0,MIN(G379,E379*1.1)-E379)*0.035+MAX(0,G379-E379*1.1)*0.05)</x:f>
        <x:v>0</x:v>
      </x:c>
      <x:c r="P379" s="74" t="n">
        <x:f>N379+O379</x:f>
        <x:v>272.37760000000003</x:v>
      </x:c>
      <x:c r="Q379" s="76" t="n">
        <x:f>IF(G379&lt;=0,0,P379/G379)</x:f>
        <x:v>0.010712191192942273</x:v>
      </x:c>
    </x:row>
    <x:row r="380">
      <x:c r="A380" s="56" t="str">
        <x:v>EMP032</x:v>
      </x:c>
      <x:c r="B380" s="56" t="str">
        <x:v>Zoe Anderson</x:v>
      </x:c>
      <x:c r="C380" s="56" t="str">
        <x:v>AE II</x:v>
      </x:c>
      <x:c r="D380" s="56" t="str">
        <x:v>2026-07</x:v>
      </x:c>
      <x:c r="E380" s="72" t="n">
        <x:v>64575.000000000015</x:v>
      </x:c>
      <x:c r="F380" s="72" t="n">
        <x:v>51753.05</x:v>
      </x:c>
      <x:c r="G380" s="72" t="n">
        <x:v>51753.05</x:v>
      </x:c>
      <x:c r="H380" s="72" t="n">
        <x:v>0</x:v>
      </x:c>
      <x:c r="I380" s="56" t="n">
        <x:v>0</x:v>
      </x:c>
      <x:c r="J380" s="56" t="n">
        <x:v>0</x:v>
      </x:c>
      <x:c r="K380" s="68" t="n">
        <x:f>IF(E380&lt;=0,"",G380/E380)</x:f>
        <x:v>0.8014409601238868</x:v>
      </x:c>
      <x:c r="L380" t="str">
        <x:f>IF(K380="","Not Calculated",IF(K380&lt;0.8,"Below 80%",IF(K380&lt;1,"80%-99.99%",IF(K380&lt;1.1,"100%-109.99%",IF(K380&lt;1.75,"110%-174.99%","175%+ Review")))))</x:f>
        <x:v>80%-99.99%</x:v>
      </x:c>
      <x:c r="M380" s="56" t="str">
        <x:v>Ready for Commission Calculation</x:v>
      </x:c>
      <x:c r="N380" s="74" t="n">
        <x:f>IF(E380&lt;=0,0,MIN(G380,E380*0.8)*0.01+MAX(0,MIN(G380,E380)-E380*0.8)*0.02)</x:f>
        <x:v>518.4609999999999</x:v>
      </x:c>
      <x:c r="O380" s="74" t="n">
        <x:f>IF(E380&lt;=0,0,MAX(0,MIN(G380,E380*1.1)-E380)*0.035+MAX(0,G380-E380*1.1)*0.05)</x:f>
        <x:v>0</x:v>
      </x:c>
      <x:c r="P380" s="74" t="n">
        <x:f>N380+O380</x:f>
        <x:v>518.4609999999999</x:v>
      </x:c>
      <x:c r="Q380" s="76" t="n">
        <x:f>IF(G380&lt;=0,0,P380/G380)</x:f>
        <x:v>0.010017979616660271</x:v>
      </x:c>
    </x:row>
    <x:row r="381">
      <x:c r="A381" s="56" t="str">
        <x:v>EMP032</x:v>
      </x:c>
      <x:c r="B381" s="56" t="str">
        <x:v>Zoe Anderson</x:v>
      </x:c>
      <x:c r="C381" s="56" t="str">
        <x:v>AE II</x:v>
      </x:c>
      <x:c r="D381" s="56" t="str">
        <x:v>2026-08</x:v>
      </x:c>
      <x:c r="E381" s="72" t="n">
        <x:v>86100.00000000001</x:v>
      </x:c>
      <x:c r="F381" s="72" t="n">
        <x:v>85208.97</x:v>
      </x:c>
      <x:c r="G381" s="72" t="n">
        <x:v>84132.41</x:v>
      </x:c>
      <x:c r="H381" s="72" t="n">
        <x:v>1076.56</x:v>
      </x:c>
      <x:c r="I381" s="56" t="n">
        <x:v>0</x:v>
      </x:c>
      <x:c r="J381" s="56" t="n">
        <x:v>0</x:v>
      </x:c>
      <x:c r="K381" s="68" t="n">
        <x:f>IF(E381&lt;=0,"",G381/E381)</x:f>
        <x:v>0.9771476190476189</x:v>
      </x:c>
      <x:c r="L381" t="str">
        <x:f>IF(K381="","Not Calculated",IF(K381&lt;0.8,"Below 80%",IF(K381&lt;1,"80%-99.99%",IF(K381&lt;1.1,"100%-109.99%",IF(K381&lt;1.75,"110%-174.99%","175%+ Review")))))</x:f>
        <x:v>80%-99.99%</x:v>
      </x:c>
      <x:c r="M381" s="56" t="str">
        <x:v>Ready for Commission Calculation</x:v>
      </x:c>
      <x:c r="N381" s="74" t="n">
        <x:f>IF(E381&lt;=0,0,MIN(G381,E381*0.8)*0.01+MAX(0,MIN(G381,E381)-E381*0.8)*0.02)</x:f>
        <x:v>993.8481999999999</x:v>
      </x:c>
      <x:c r="O381" s="74" t="n">
        <x:f>IF(E381&lt;=0,0,MAX(0,MIN(G381,E381*1.1)-E381)*0.035+MAX(0,G381-E381*1.1)*0.05)</x:f>
        <x:v>0</x:v>
      </x:c>
      <x:c r="P381" s="74" t="n">
        <x:f>N381+O381</x:f>
        <x:v>993.8481999999999</x:v>
      </x:c>
      <x:c r="Q381" s="76" t="n">
        <x:f>IF(G381&lt;=0,0,P381/G381)</x:f>
        <x:v>0.011812905395197878</x:v>
      </x:c>
    </x:row>
    <x:row r="382">
      <x:c r="A382" s="56" t="str">
        <x:v>EMP032</x:v>
      </x:c>
      <x:c r="B382" s="56" t="str">
        <x:v>Zoe Anderson</x:v>
      </x:c>
      <x:c r="C382" s="56" t="str">
        <x:v>AE II</x:v>
      </x:c>
      <x:c r="D382" s="56" t="str">
        <x:v>2026-09</x:v>
      </x:c>
      <x:c r="E382" s="72" t="n">
        <x:v>123000</x:v>
      </x:c>
      <x:c r="F382" s="72" t="n">
        <x:v>104814.49</x:v>
      </x:c>
      <x:c r="G382" s="72" t="n">
        <x:v>104814.49</x:v>
      </x:c>
      <x:c r="H382" s="72" t="n">
        <x:v>0</x:v>
      </x:c>
      <x:c r="I382" s="56" t="n">
        <x:v>0</x:v>
      </x:c>
      <x:c r="J382" s="56" t="n">
        <x:v>0</x:v>
      </x:c>
      <x:c r="K382" s="68" t="n">
        <x:f>IF(E382&lt;=0,"",G382/E382)</x:f>
        <x:v>0.8521503252032521</x:v>
      </x:c>
      <x:c r="L382" t="str">
        <x:f>IF(K382="","Not Calculated",IF(K382&lt;0.8,"Below 80%",IF(K382&lt;1,"80%-99.99%",IF(K382&lt;1.1,"100%-109.99%",IF(K382&lt;1.75,"110%-174.99%","175%+ Review")))))</x:f>
        <x:v>80%-99.99%</x:v>
      </x:c>
      <x:c r="M382" s="56" t="str">
        <x:v>Ready for Commission Calculation</x:v>
      </x:c>
      <x:c r="N382" s="74" t="n">
        <x:f>IF(E382&lt;=0,0,MIN(G382,E382*0.8)*0.01+MAX(0,MIN(G382,E382)-E382*0.8)*0.02)</x:f>
        <x:v>1112.2898</x:v>
      </x:c>
      <x:c r="O382" s="74" t="n">
        <x:f>IF(E382&lt;=0,0,MAX(0,MIN(G382,E382*1.1)-E382)*0.035+MAX(0,G382-E382*1.1)*0.05)</x:f>
        <x:v>0</x:v>
      </x:c>
      <x:c r="P382" s="74" t="n">
        <x:f>N382+O382</x:f>
        <x:v>1112.2898</x:v>
      </x:c>
      <x:c r="Q382" s="76" t="n">
        <x:f>IF(G382&lt;=0,0,P382/G382)</x:f>
        <x:v>0.010611985041381205</x:v>
      </x:c>
    </x:row>
    <x:row r="383">
      <x:c r="A383" s="56" t="str">
        <x:v>EMP032</x:v>
      </x:c>
      <x:c r="B383" s="56" t="str">
        <x:v>Zoe Anderson</x:v>
      </x:c>
      <x:c r="C383" s="56" t="str">
        <x:v>AE II</x:v>
      </x:c>
      <x:c r="D383" s="56" t="str">
        <x:v>2026-10</x:v>
      </x:c>
      <x:c r="E383" s="72" t="n">
        <x:v>123000</x:v>
      </x:c>
      <x:c r="F383" s="72" t="n">
        <x:v>94960.11</x:v>
      </x:c>
      <x:c r="G383" s="72" t="n">
        <x:v>93894.47000000002</x:v>
      </x:c>
      <x:c r="H383" s="72" t="n">
        <x:v>1065.64</x:v>
      </x:c>
      <x:c r="I383" s="56" t="n">
        <x:v>0</x:v>
      </x:c>
      <x:c r="J383" s="56" t="n">
        <x:v>0</x:v>
      </x:c>
      <x:c r="K383" s="68" t="n">
        <x:f>IF(E383&lt;=0,"",G383/E383)</x:f>
        <x:v>0.7633696747967481</x:v>
      </x:c>
      <x:c r="L383" t="str">
        <x:f>IF(K383="","Not Calculated",IF(K383&lt;0.8,"Below 80%",IF(K383&lt;1,"80%-99.99%",IF(K383&lt;1.1,"100%-109.99%",IF(K383&lt;1.75,"110%-174.99%","175%+ Review")))))</x:f>
        <x:v>Below 80%</x:v>
      </x:c>
      <x:c r="M383" s="56" t="str">
        <x:v>Ready for Commission Calculation</x:v>
      </x:c>
      <x:c r="N383" s="74" t="n">
        <x:f>IF(E383&lt;=0,0,MIN(G383,E383*0.8)*0.01+MAX(0,MIN(G383,E383)-E383*0.8)*0.02)</x:f>
        <x:v>938.9447000000001</x:v>
      </x:c>
      <x:c r="O383" s="74" t="n">
        <x:f>IF(E383&lt;=0,0,MAX(0,MIN(G383,E383*1.1)-E383)*0.035+MAX(0,G383-E383*1.1)*0.05)</x:f>
        <x:v>0</x:v>
      </x:c>
      <x:c r="P383" s="74" t="n">
        <x:f>N383+O383</x:f>
        <x:v>938.9447000000001</x:v>
      </x:c>
      <x:c r="Q383" s="76" t="n">
        <x:f>IF(G383&lt;=0,0,P383/G383)</x:f>
        <x:v>0.01</x:v>
      </x:c>
    </x:row>
    <x:row r="384">
      <x:c r="A384" s="56" t="str">
        <x:v>EMP032</x:v>
      </x:c>
      <x:c r="B384" s="56" t="str">
        <x:v>Zoe Anderson</x:v>
      </x:c>
      <x:c r="C384" s="56" t="str">
        <x:v>AE II</x:v>
      </x:c>
      <x:c r="D384" s="56" t="str">
        <x:v>2026-11</x:v>
      </x:c>
      <x:c r="E384" s="72" t="n">
        <x:v>110700</x:v>
      </x:c>
      <x:c r="F384" s="72" t="n">
        <x:v>91465.62</x:v>
      </x:c>
      <x:c r="G384" s="72" t="n">
        <x:v>91465.62</x:v>
      </x:c>
      <x:c r="H384" s="72" t="n">
        <x:v>0</x:v>
      </x:c>
      <x:c r="I384" s="56" t="n">
        <x:v>0</x:v>
      </x:c>
      <x:c r="J384" s="56" t="n">
        <x:v>0</x:v>
      </x:c>
      <x:c r="K384" s="68" t="n">
        <x:f>IF(E384&lt;=0,"",G384/E384)</x:f>
        <x:v>0.8262476964769647</x:v>
      </x:c>
      <x:c r="L384" t="str">
        <x:f>IF(K384="","Not Calculated",IF(K384&lt;0.8,"Below 80%",IF(K384&lt;1,"80%-99.99%",IF(K384&lt;1.1,"100%-109.99%",IF(K384&lt;1.75,"110%-174.99%","175%+ Review")))))</x:f>
        <x:v>80%-99.99%</x:v>
      </x:c>
      <x:c r="M384" s="56" t="str">
        <x:v>Ready for Commission Calculation</x:v>
      </x:c>
      <x:c r="N384" s="74" t="n">
        <x:f>IF(E384&lt;=0,0,MIN(G384,E384*0.8)*0.01+MAX(0,MIN(G384,E384)-E384*0.8)*0.02)</x:f>
        <x:v>943.7123999999999</x:v>
      </x:c>
      <x:c r="O384" s="74" t="n">
        <x:f>IF(E384&lt;=0,0,MAX(0,MIN(G384,E384*1.1)-E384)*0.035+MAX(0,G384-E384*1.1)*0.05)</x:f>
        <x:v>0</x:v>
      </x:c>
      <x:c r="P384" s="74" t="n">
        <x:f>N384+O384</x:f>
        <x:v>943.7123999999999</x:v>
      </x:c>
      <x:c r="Q384" s="76" t="n">
        <x:f>IF(G384&lt;=0,0,P384/G384)</x:f>
        <x:v>0.010317673460257526</x:v>
      </x:c>
    </x:row>
    <x:row r="385">
      <x:c r="A385" s="56" t="str">
        <x:v>EMP032</x:v>
      </x:c>
      <x:c r="B385" s="56" t="str">
        <x:v>Zoe Anderson</x:v>
      </x:c>
      <x:c r="C385" s="56" t="str">
        <x:v>AE II</x:v>
      </x:c>
      <x:c r="D385" s="56" t="str">
        <x:v>2026-12</x:v>
      </x:c>
      <x:c r="E385" s="72" t="n">
        <x:v>123000</x:v>
      </x:c>
      <x:c r="F385" s="72" t="n">
        <x:v>108675.11999999998</x:v>
      </x:c>
      <x:c r="G385" s="72" t="n">
        <x:v>107289.15999999999</x:v>
      </x:c>
      <x:c r="H385" s="72" t="n">
        <x:v>1385.96</x:v>
      </x:c>
      <x:c r="I385" s="56" t="n">
        <x:v>0</x:v>
      </x:c>
      <x:c r="J385" s="56" t="n">
        <x:v>0</x:v>
      </x:c>
      <x:c r="K385" s="68" t="n">
        <x:f>IF(E385&lt;=0,"",G385/E385)</x:f>
        <x:v>0.8722695934959349</x:v>
      </x:c>
      <x:c r="L385" t="str">
        <x:f>IF(K385="","Not Calculated",IF(K385&lt;0.8,"Below 80%",IF(K385&lt;1,"80%-99.99%",IF(K385&lt;1.1,"100%-109.99%",IF(K385&lt;1.75,"110%-174.99%","175%+ Review")))))</x:f>
        <x:v>80%-99.99%</x:v>
      </x:c>
      <x:c r="M385" s="56" t="str">
        <x:v>Ready for Commission Calculation</x:v>
      </x:c>
      <x:c r="N385" s="74" t="n">
        <x:f>IF(E385&lt;=0,0,MIN(G385,E385*0.8)*0.01+MAX(0,MIN(G385,E385)-E385*0.8)*0.02)</x:f>
        <x:v>1161.7831999999999</x:v>
      </x:c>
      <x:c r="O385" s="74" t="n">
        <x:f>IF(E385&lt;=0,0,MAX(0,MIN(G385,E385*1.1)-E385)*0.035+MAX(0,G385-E385*1.1)*0.05)</x:f>
        <x:v>0</x:v>
      </x:c>
      <x:c r="P385" s="74" t="n">
        <x:f>N385+O385</x:f>
        <x:v>1161.7831999999999</x:v>
      </x:c>
      <x:c r="Q385" s="76" t="n">
        <x:f>IF(G385&lt;=0,0,P385/G385)</x:f>
        <x:v>0.010828523589894822</x:v>
      </x:c>
    </x:row>
    <x:row r="386">
      <x:c r="A386" s="56" t="str">
        <x:v>EMP033</x:v>
      </x:c>
      <x:c r="B386" s="56" t="str">
        <x:v>Marcus Chen</x:v>
      </x:c>
      <x:c r="C386" s="56" t="str">
        <x:v>Senior AE</x:v>
      </x:c>
      <x:c r="D386" s="56" t="str">
        <x:v>2026-01</x:v>
      </x:c>
      <x:c r="E386" s="72" t="n">
        <x:v>133000</x:v>
      </x:c>
      <x:c r="F386" s="72" t="n">
        <x:v>106468.97999999998</x:v>
      </x:c>
      <x:c r="G386" s="72" t="n">
        <x:v>106256.40999999999</x:v>
      </x:c>
      <x:c r="H386" s="72" t="n">
        <x:v>212.57</x:v>
      </x:c>
      <x:c r="I386" s="56" t="n">
        <x:v>0</x:v>
      </x:c>
      <x:c r="J386" s="56" t="n">
        <x:v>0</x:v>
      </x:c>
      <x:c r="K386" s="68" t="n">
        <x:f>IF(E386&lt;=0,"",G386/E386)</x:f>
        <x:v>0.7989203759398495</x:v>
      </x:c>
      <x:c r="L386" t="str">
        <x:f>IF(K386="","Not Calculated",IF(K386&lt;0.8,"Below 80%",IF(K386&lt;1,"80%-99.99%",IF(K386&lt;1.1,"100%-109.99%",IF(K386&lt;1.75,"110%-174.99%","175%+ Review")))))</x:f>
        <x:v>Below 80%</x:v>
      </x:c>
      <x:c r="M386" s="56" t="str">
        <x:v>Ready for Commission Calculation</x:v>
      </x:c>
      <x:c r="N386" s="74" t="n">
        <x:f>IF(E386&lt;=0,0,MIN(G386,E386*0.8)*0.01+MAX(0,MIN(G386,E386)-E386*0.8)*0.02)</x:f>
        <x:v>1062.5640999999998</x:v>
      </x:c>
      <x:c r="O386" s="74" t="n">
        <x:f>IF(E386&lt;=0,0,MAX(0,MIN(G386,E386*1.1)-E386)*0.035+MAX(0,G386-E386*1.1)*0.05)</x:f>
        <x:v>0</x:v>
      </x:c>
      <x:c r="P386" s="74" t="n">
        <x:f>N386+O386</x:f>
        <x:v>1062.5640999999998</x:v>
      </x:c>
      <x:c r="Q386" s="76" t="n">
        <x:f>IF(G386&lt;=0,0,P386/G386)</x:f>
        <x:v>0.01</x:v>
      </x:c>
    </x:row>
    <x:row r="387">
      <x:c r="A387" s="56" t="str">
        <x:v>EMP033</x:v>
      </x:c>
      <x:c r="B387" s="56" t="str">
        <x:v>Marcus Chen</x:v>
      </x:c>
      <x:c r="C387" s="56" t="str">
        <x:v>Senior AE</x:v>
      </x:c>
      <x:c r="D387" s="56" t="str">
        <x:v>2026-02</x:v>
      </x:c>
      <x:c r="E387" s="72" t="n">
        <x:v>133000</x:v>
      </x:c>
      <x:c r="F387" s="72" t="n">
        <x:v>90646.24</x:v>
      </x:c>
      <x:c r="G387" s="72" t="n">
        <x:v>90646.24</x:v>
      </x:c>
      <x:c r="H387" s="72" t="n">
        <x:v>0</x:v>
      </x:c>
      <x:c r="I387" s="56" t="n">
        <x:v>0</x:v>
      </x:c>
      <x:c r="J387" s="56" t="n">
        <x:v>0</x:v>
      </x:c>
      <x:c r="K387" s="68" t="n">
        <x:f>IF(E387&lt;=0,"",G387/E387)</x:f>
        <x:v>0.6815506766917294</x:v>
      </x:c>
      <x:c r="L387" t="str">
        <x:f>IF(K387="","Not Calculated",IF(K387&lt;0.8,"Below 80%",IF(K387&lt;1,"80%-99.99%",IF(K387&lt;1.1,"100%-109.99%",IF(K387&lt;1.75,"110%-174.99%","175%+ Review")))))</x:f>
        <x:v>Below 80%</x:v>
      </x:c>
      <x:c r="M387" s="56" t="str">
        <x:v>Ready for Commission Calculation</x:v>
      </x:c>
      <x:c r="N387" s="74" t="n">
        <x:f>IF(E387&lt;=0,0,MIN(G387,E387*0.8)*0.01+MAX(0,MIN(G387,E387)-E387*0.8)*0.02)</x:f>
        <x:v>906.4624000000001</x:v>
      </x:c>
      <x:c r="O387" s="74" t="n">
        <x:f>IF(E387&lt;=0,0,MAX(0,MIN(G387,E387*1.1)-E387)*0.035+MAX(0,G387-E387*1.1)*0.05)</x:f>
        <x:v>0</x:v>
      </x:c>
      <x:c r="P387" s="74" t="n">
        <x:f>N387+O387</x:f>
        <x:v>906.4624000000001</x:v>
      </x:c>
      <x:c r="Q387" s="76" t="n">
        <x:f>IF(G387&lt;=0,0,P387/G387)</x:f>
        <x:v>0.01</x:v>
      </x:c>
    </x:row>
    <x:row r="388">
      <x:c r="A388" s="56" t="str">
        <x:v>EMP033</x:v>
      </x:c>
      <x:c r="B388" s="56" t="str">
        <x:v>Marcus Chen</x:v>
      </x:c>
      <x:c r="C388" s="56" t="str">
        <x:v>Senior AE</x:v>
      </x:c>
      <x:c r="D388" s="56" t="str">
        <x:v>2026-03</x:v>
      </x:c>
      <x:c r="E388" s="72" t="n">
        <x:v>152000</x:v>
      </x:c>
      <x:c r="F388" s="72" t="n">
        <x:v>126357.5</x:v>
      </x:c>
      <x:c r="G388" s="72" t="n">
        <x:v>126357.5</x:v>
      </x:c>
      <x:c r="H388" s="72" t="n">
        <x:v>0</x:v>
      </x:c>
      <x:c r="I388" s="56" t="n">
        <x:v>0</x:v>
      </x:c>
      <x:c r="J388" s="56" t="n">
        <x:v>0</x:v>
      </x:c>
      <x:c r="K388" s="68" t="n">
        <x:f>IF(E388&lt;=0,"",G388/E388)</x:f>
        <x:v>0.8312993421052631</x:v>
      </x:c>
      <x:c r="L388" t="str">
        <x:f>IF(K388="","Not Calculated",IF(K388&lt;0.8,"Below 80%",IF(K388&lt;1,"80%-99.99%",IF(K388&lt;1.1,"100%-109.99%",IF(K388&lt;1.75,"110%-174.99%","175%+ Review")))))</x:f>
        <x:v>80%-99.99%</x:v>
      </x:c>
      <x:c r="M388" s="56" t="str">
        <x:v>Ready for Commission Calculation</x:v>
      </x:c>
      <x:c r="N388" s="74" t="n">
        <x:f>IF(E388&lt;=0,0,MIN(G388,E388*0.8)*0.01+MAX(0,MIN(G388,E388)-E388*0.8)*0.02)</x:f>
        <x:v>1311.15</x:v>
      </x:c>
      <x:c r="O388" s="74" t="n">
        <x:f>IF(E388&lt;=0,0,MAX(0,MIN(G388,E388*1.1)-E388)*0.035+MAX(0,G388-E388*1.1)*0.05)</x:f>
        <x:v>0</x:v>
      </x:c>
      <x:c r="P388" s="74" t="n">
        <x:f>N388+O388</x:f>
        <x:v>1311.15</x:v>
      </x:c>
      <x:c r="Q388" s="76" t="n">
        <x:f>IF(G388&lt;=0,0,P388/G388)</x:f>
        <x:v>0.0103765110895673</x:v>
      </x:c>
    </x:row>
    <x:row r="389">
      <x:c r="A389" s="56" t="str">
        <x:v>EMP033</x:v>
      </x:c>
      <x:c r="B389" s="56" t="str">
        <x:v>Marcus Chen</x:v>
      </x:c>
      <x:c r="C389" s="56" t="str">
        <x:v>Senior AE</x:v>
      </x:c>
      <x:c r="D389" s="56" t="str">
        <x:v>2026-04</x:v>
      </x:c>
      <x:c r="E389" s="72" t="n">
        <x:v>152000</x:v>
      </x:c>
      <x:c r="F389" s="72" t="n">
        <x:v>122102.00999999998</x:v>
      </x:c>
      <x:c r="G389" s="72" t="n">
        <x:v>108151.44</x:v>
      </x:c>
      <x:c r="H389" s="72" t="n">
        <x:v>13950.57</x:v>
      </x:c>
      <x:c r="I389" s="56" t="n">
        <x:v>0</x:v>
      </x:c>
      <x:c r="J389" s="56" t="n">
        <x:v>0</x:v>
      </x:c>
      <x:c r="K389" s="68" t="n">
        <x:f>IF(E389&lt;=0,"",G389/E389)</x:f>
        <x:v>0.7115226315789474</x:v>
      </x:c>
      <x:c r="L389" t="str">
        <x:f>IF(K389="","Not Calculated",IF(K389&lt;0.8,"Below 80%",IF(K389&lt;1,"80%-99.99%",IF(K389&lt;1.1,"100%-109.99%",IF(K389&lt;1.75,"110%-174.99%","175%+ Review")))))</x:f>
        <x:v>Below 80%</x:v>
      </x:c>
      <x:c r="M389" s="56" t="str">
        <x:v>Ready for Commission Calculation</x:v>
      </x:c>
      <x:c r="N389" s="74" t="n">
        <x:f>IF(E389&lt;=0,0,MIN(G389,E389*0.8)*0.01+MAX(0,MIN(G389,E389)-E389*0.8)*0.02)</x:f>
        <x:v>1081.5144</x:v>
      </x:c>
      <x:c r="O389" s="74" t="n">
        <x:f>IF(E389&lt;=0,0,MAX(0,MIN(G389,E389*1.1)-E389)*0.035+MAX(0,G389-E389*1.1)*0.05)</x:f>
        <x:v>0</x:v>
      </x:c>
      <x:c r="P389" s="74" t="n">
        <x:f>N389+O389</x:f>
        <x:v>1081.5144</x:v>
      </x:c>
      <x:c r="Q389" s="76" t="n">
        <x:f>IF(G389&lt;=0,0,P389/G389)</x:f>
        <x:v>0.01</x:v>
      </x:c>
    </x:row>
    <x:row r="390">
      <x:c r="A390" s="56" t="str">
        <x:v>EMP033</x:v>
      </x:c>
      <x:c r="B390" s="56" t="str">
        <x:v>Marcus Chen</x:v>
      </x:c>
      <x:c r="C390" s="56" t="str">
        <x:v>Senior AE</x:v>
      </x:c>
      <x:c r="D390" s="56" t="str">
        <x:v>2026-05</x:v>
      </x:c>
      <x:c r="E390" s="72" t="n">
        <x:v>152000</x:v>
      </x:c>
      <x:c r="F390" s="72" t="n">
        <x:v>127080.04</x:v>
      </x:c>
      <x:c r="G390" s="72" t="n">
        <x:v>126542.14</x:v>
      </x:c>
      <x:c r="H390" s="72" t="n">
        <x:v>537.9</x:v>
      </x:c>
      <x:c r="I390" s="56" t="n">
        <x:v>0</x:v>
      </x:c>
      <x:c r="J390" s="56" t="n">
        <x:v>0</x:v>
      </x:c>
      <x:c r="K390" s="68" t="n">
        <x:f>IF(E390&lt;=0,"",G390/E390)</x:f>
        <x:v>0.8325140789473684</x:v>
      </x:c>
      <x:c r="L390" t="str">
        <x:f>IF(K390="","Not Calculated",IF(K390&lt;0.8,"Below 80%",IF(K390&lt;1,"80%-99.99%",IF(K390&lt;1.1,"100%-109.99%",IF(K390&lt;1.75,"110%-174.99%","175%+ Review")))))</x:f>
        <x:v>80%-99.99%</x:v>
      </x:c>
      <x:c r="M390" s="56" t="str">
        <x:v>Ready for Commission Calculation</x:v>
      </x:c>
      <x:c r="N390" s="74" t="n">
        <x:f>IF(E390&lt;=0,0,MIN(G390,E390*0.8)*0.01+MAX(0,MIN(G390,E390)-E390*0.8)*0.02)</x:f>
        <x:v>1314.8428</x:v>
      </x:c>
      <x:c r="O390" s="74" t="n">
        <x:f>IF(E390&lt;=0,0,MAX(0,MIN(G390,E390*1.1)-E390)*0.035+MAX(0,G390-E390*1.1)*0.05)</x:f>
        <x:v>0</x:v>
      </x:c>
      <x:c r="P390" s="74" t="n">
        <x:f>N390+O390</x:f>
        <x:v>1314.8428</x:v>
      </x:c>
      <x:c r="Q390" s="76" t="n">
        <x:f>IF(G390&lt;=0,0,P390/G390)</x:f>
        <x:v>0.0103905529019819</x:v>
      </x:c>
    </x:row>
    <x:row r="391">
      <x:c r="A391" s="56" t="str">
        <x:v>EMP033</x:v>
      </x:c>
      <x:c r="B391" s="56" t="str">
        <x:v>Marcus Chen</x:v>
      </x:c>
      <x:c r="C391" s="56" t="str">
        <x:v>Senior AE</x:v>
      </x:c>
      <x:c r="D391" s="56" t="str">
        <x:v>2026-06</x:v>
      </x:c>
      <x:c r="E391" s="72" t="n">
        <x:v>171000</x:v>
      </x:c>
      <x:c r="F391" s="72" t="n">
        <x:v>162053.76</x:v>
      </x:c>
      <x:c r="G391" s="72" t="n">
        <x:v>162053.76</x:v>
      </x:c>
      <x:c r="H391" s="72" t="n">
        <x:v>0</x:v>
      </x:c>
      <x:c r="I391" s="56" t="n">
        <x:v>0</x:v>
      </x:c>
      <x:c r="J391" s="56" t="n">
        <x:v>0</x:v>
      </x:c>
      <x:c r="K391" s="68" t="n">
        <x:f>IF(E391&lt;=0,"",G391/E391)</x:f>
        <x:v>0.9476828070175439</x:v>
      </x:c>
      <x:c r="L391" t="str">
        <x:f>IF(K391="","Not Calculated",IF(K391&lt;0.8,"Below 80%",IF(K391&lt;1,"80%-99.99%",IF(K391&lt;1.1,"100%-109.99%",IF(K391&lt;1.75,"110%-174.99%","175%+ Review")))))</x:f>
        <x:v>80%-99.99%</x:v>
      </x:c>
      <x:c r="M391" s="56" t="str">
        <x:v>Ready for Commission Calculation</x:v>
      </x:c>
      <x:c r="N391" s="74" t="n">
        <x:f>IF(E391&lt;=0,0,MIN(G391,E391*0.8)*0.01+MAX(0,MIN(G391,E391)-E391*0.8)*0.02)</x:f>
        <x:v>1873.0752000000002</x:v>
      </x:c>
      <x:c r="O391" s="74" t="n">
        <x:f>IF(E391&lt;=0,0,MAX(0,MIN(G391,E391*1.1)-E391)*0.035+MAX(0,G391-E391*1.1)*0.05)</x:f>
        <x:v>0</x:v>
      </x:c>
      <x:c r="P391" s="74" t="n">
        <x:f>N391+O391</x:f>
        <x:v>1873.0752000000002</x:v>
      </x:c>
      <x:c r="Q391" s="76" t="n">
        <x:f>IF(G391&lt;=0,0,P391/G391)</x:f>
        <x:v>0.011558356930440862</x:v>
      </x:c>
    </x:row>
    <x:row r="392">
      <x:c r="A392" s="56" t="str">
        <x:v>EMP033</x:v>
      </x:c>
      <x:c r="B392" s="56" t="str">
        <x:v>Marcus Chen</x:v>
      </x:c>
      <x:c r="C392" s="56" t="str">
        <x:v>Senior AE</x:v>
      </x:c>
      <x:c r="D392" s="56" t="str">
        <x:v>2026-07</x:v>
      </x:c>
      <x:c r="E392" s="72" t="n">
        <x:v>133000</x:v>
      </x:c>
      <x:c r="F392" s="72" t="n">
        <x:v>113761.25</x:v>
      </x:c>
      <x:c r="G392" s="72" t="n">
        <x:v>112331.43000000001</x:v>
      </x:c>
      <x:c r="H392" s="72" t="n">
        <x:v>1429.82</x:v>
      </x:c>
      <x:c r="I392" s="56" t="n">
        <x:v>0</x:v>
      </x:c>
      <x:c r="J392" s="56" t="n">
        <x:v>0</x:v>
      </x:c>
      <x:c r="K392" s="68" t="n">
        <x:f>IF(E392&lt;=0,"",G392/E392)</x:f>
        <x:v>0.8445972180451128</x:v>
      </x:c>
      <x:c r="L392" t="str">
        <x:f>IF(K392="","Not Calculated",IF(K392&lt;0.8,"Below 80%",IF(K392&lt;1,"80%-99.99%",IF(K392&lt;1.1,"100%-109.99%",IF(K392&lt;1.75,"110%-174.99%","175%+ Review")))))</x:f>
        <x:v>80%-99.99%</x:v>
      </x:c>
      <x:c r="M392" s="56" t="str">
        <x:v>Ready for Commission Calculation</x:v>
      </x:c>
      <x:c r="N392" s="74" t="n">
        <x:f>IF(E392&lt;=0,0,MIN(G392,E392*0.8)*0.01+MAX(0,MIN(G392,E392)-E392*0.8)*0.02)</x:f>
        <x:v>1182.6286000000002</x:v>
      </x:c>
      <x:c r="O392" s="74" t="n">
        <x:f>IF(E392&lt;=0,0,MAX(0,MIN(G392,E392*1.1)-E392)*0.035+MAX(0,G392-E392*1.1)*0.05)</x:f>
        <x:v>0</x:v>
      </x:c>
      <x:c r="P392" s="74" t="n">
        <x:f>N392+O392</x:f>
        <x:v>1182.6286000000002</x:v>
      </x:c>
      <x:c r="Q392" s="76" t="n">
        <x:f>IF(G392&lt;=0,0,P392/G392)</x:f>
        <x:v>0.01052802942150741</x:v>
      </x:c>
    </x:row>
    <x:row r="393">
      <x:c r="A393" s="56" t="str">
        <x:v>EMP033</x:v>
      </x:c>
      <x:c r="B393" s="56" t="str">
        <x:v>Marcus Chen</x:v>
      </x:c>
      <x:c r="C393" s="56" t="str">
        <x:v>Senior AE</x:v>
      </x:c>
      <x:c r="D393" s="56" t="str">
        <x:v>2026-08</x:v>
      </x:c>
      <x:c r="E393" s="72" t="n">
        <x:v>133000</x:v>
      </x:c>
      <x:c r="F393" s="72" t="n">
        <x:v>110504.31</x:v>
      </x:c>
      <x:c r="G393" s="72" t="n">
        <x:v>110021.36000000002</x:v>
      </x:c>
      <x:c r="H393" s="72" t="n">
        <x:v>482.95</x:v>
      </x:c>
      <x:c r="I393" s="56" t="n">
        <x:v>0</x:v>
      </x:c>
      <x:c r="J393" s="56" t="n">
        <x:v>0</x:v>
      </x:c>
      <x:c r="K393" s="68" t="n">
        <x:f>IF(E393&lt;=0,"",G393/E393)</x:f>
        <x:v>0.8272282706766918</x:v>
      </x:c>
      <x:c r="L393" t="str">
        <x:f>IF(K393="","Not Calculated",IF(K393&lt;0.8,"Below 80%",IF(K393&lt;1,"80%-99.99%",IF(K393&lt;1.1,"100%-109.99%",IF(K393&lt;1.75,"110%-174.99%","175%+ Review")))))</x:f>
        <x:v>80%-99.99%</x:v>
      </x:c>
      <x:c r="M393" s="56" t="str">
        <x:v>Ready for Commission Calculation</x:v>
      </x:c>
      <x:c r="N393" s="74" t="n">
        <x:f>IF(E393&lt;=0,0,MIN(G393,E393*0.8)*0.01+MAX(0,MIN(G393,E393)-E393*0.8)*0.02)</x:f>
        <x:v>1136.4272000000003</x:v>
      </x:c>
      <x:c r="O393" s="74" t="n">
        <x:f>IF(E393&lt;=0,0,MAX(0,MIN(G393,E393*1.1)-E393)*0.035+MAX(0,G393-E393*1.1)*0.05)</x:f>
        <x:v>0</x:v>
      </x:c>
      <x:c r="P393" s="74" t="n">
        <x:f>N393+O393</x:f>
        <x:v>1136.4272000000003</x:v>
      </x:c>
      <x:c r="Q393" s="76" t="n">
        <x:f>IF(G393&lt;=0,0,P393/G393)</x:f>
        <x:v>0.010329150630386683</x:v>
      </x:c>
    </x:row>
    <x:row r="394">
      <x:c r="A394" s="56" t="str">
        <x:v>EMP033</x:v>
      </x:c>
      <x:c r="B394" s="56" t="str">
        <x:v>Marcus Chen</x:v>
      </x:c>
      <x:c r="C394" s="56" t="str">
        <x:v>Senior AE</x:v>
      </x:c>
      <x:c r="D394" s="56" t="str">
        <x:v>2026-09</x:v>
      </x:c>
      <x:c r="E394" s="72" t="n">
        <x:v>190000</x:v>
      </x:c>
      <x:c r="F394" s="72" t="n">
        <x:v>141028.61</x:v>
      </x:c>
      <x:c r="G394" s="72" t="n">
        <x:v>141028.61</x:v>
      </x:c>
      <x:c r="H394" s="72" t="n">
        <x:v>0</x:v>
      </x:c>
      <x:c r="I394" s="56" t="n">
        <x:v>0</x:v>
      </x:c>
      <x:c r="J394" s="56" t="n">
        <x:v>0</x:v>
      </x:c>
      <x:c r="K394" s="68" t="n">
        <x:f>IF(E394&lt;=0,"",G394/E394)</x:f>
        <x:v>0.7422558421052631</x:v>
      </x:c>
      <x:c r="L394" t="str">
        <x:f>IF(K394="","Not Calculated",IF(K394&lt;0.8,"Below 80%",IF(K394&lt;1,"80%-99.99%",IF(K394&lt;1.1,"100%-109.99%",IF(K394&lt;1.75,"110%-174.99%","175%+ Review")))))</x:f>
        <x:v>Below 80%</x:v>
      </x:c>
      <x:c r="M394" s="56" t="str">
        <x:v>Ready for Commission Calculation</x:v>
      </x:c>
      <x:c r="N394" s="74" t="n">
        <x:f>IF(E394&lt;=0,0,MIN(G394,E394*0.8)*0.01+MAX(0,MIN(G394,E394)-E394*0.8)*0.02)</x:f>
        <x:v>1410.2860999999998</x:v>
      </x:c>
      <x:c r="O394" s="74" t="n">
        <x:f>IF(E394&lt;=0,0,MAX(0,MIN(G394,E394*1.1)-E394)*0.035+MAX(0,G394-E394*1.1)*0.05)</x:f>
        <x:v>0</x:v>
      </x:c>
      <x:c r="P394" s="74" t="n">
        <x:f>N394+O394</x:f>
        <x:v>1410.2860999999998</x:v>
      </x:c>
      <x:c r="Q394" s="76" t="n">
        <x:f>IF(G394&lt;=0,0,P394/G394)</x:f>
        <x:v>0.01</x:v>
      </x:c>
    </x:row>
    <x:row r="395">
      <x:c r="A395" s="56" t="str">
        <x:v>EMP033</x:v>
      </x:c>
      <x:c r="B395" s="56" t="str">
        <x:v>Marcus Chen</x:v>
      </x:c>
      <x:c r="C395" s="56" t="str">
        <x:v>Senior AE</x:v>
      </x:c>
      <x:c r="D395" s="56" t="str">
        <x:v>2026-10</x:v>
      </x:c>
      <x:c r="E395" s="72" t="n">
        <x:v>190000</x:v>
      </x:c>
      <x:c r="F395" s="72" t="n">
        <x:v>189514.32</x:v>
      </x:c>
      <x:c r="G395" s="72" t="n">
        <x:v>188937.29</x:v>
      </x:c>
      <x:c r="H395" s="72" t="n">
        <x:v>577.03</x:v>
      </x:c>
      <x:c r="I395" s="56" t="n">
        <x:v>0</x:v>
      </x:c>
      <x:c r="J395" s="56" t="n">
        <x:v>0</x:v>
      </x:c>
      <x:c r="K395" s="68" t="n">
        <x:f>IF(E395&lt;=0,"",G395/E395)</x:f>
        <x:v>0.9944067894736842</x:v>
      </x:c>
      <x:c r="L395" t="str">
        <x:f>IF(K395="","Not Calculated",IF(K395&lt;0.8,"Below 80%",IF(K395&lt;1,"80%-99.99%",IF(K395&lt;1.1,"100%-109.99%",IF(K395&lt;1.75,"110%-174.99%","175%+ Review")))))</x:f>
        <x:v>80%-99.99%</x:v>
      </x:c>
      <x:c r="M395" s="56" t="str">
        <x:v>Ready for Commission Calculation</x:v>
      </x:c>
      <x:c r="N395" s="74" t="n">
        <x:f>IF(E395&lt;=0,0,MIN(G395,E395*0.8)*0.01+MAX(0,MIN(G395,E395)-E395*0.8)*0.02)</x:f>
        <x:v>2258.7458</x:v>
      </x:c>
      <x:c r="O395" s="74" t="n">
        <x:f>IF(E395&lt;=0,0,MAX(0,MIN(G395,E395*1.1)-E395)*0.035+MAX(0,G395-E395*1.1)*0.05)</x:f>
        <x:v>0</x:v>
      </x:c>
      <x:c r="P395" s="74" t="n">
        <x:f>N395+O395</x:f>
        <x:v>2258.7458</x:v>
      </x:c>
      <x:c r="Q395" s="76" t="n">
        <x:f>IF(G395&lt;=0,0,P395/G395)</x:f>
        <x:v>0.011955002636059827</x:v>
      </x:c>
    </x:row>
    <x:row r="396">
      <x:c r="A396" s="56" t="str">
        <x:v>EMP033</x:v>
      </x:c>
      <x:c r="B396" s="56" t="str">
        <x:v>Marcus Chen</x:v>
      </x:c>
      <x:c r="C396" s="56" t="str">
        <x:v>Senior AE</x:v>
      </x:c>
      <x:c r="D396" s="56" t="str">
        <x:v>2026-11</x:v>
      </x:c>
      <x:c r="E396" s="72" t="n">
        <x:v>171000</x:v>
      </x:c>
      <x:c r="F396" s="72" t="n">
        <x:v>152532.19</x:v>
      </x:c>
      <x:c r="G396" s="72" t="n">
        <x:v>152532.19</x:v>
      </x:c>
      <x:c r="H396" s="72" t="n">
        <x:v>0</x:v>
      </x:c>
      <x:c r="I396" s="56" t="n">
        <x:v>0</x:v>
      </x:c>
      <x:c r="J396" s="56" t="n">
        <x:v>0</x:v>
      </x:c>
      <x:c r="K396" s="68" t="n">
        <x:f>IF(E396&lt;=0,"",G396/E396)</x:f>
        <x:v>0.8920011111111111</x:v>
      </x:c>
      <x:c r="L396" t="str">
        <x:f>IF(K396="","Not Calculated",IF(K396&lt;0.8,"Below 80%",IF(K396&lt;1,"80%-99.99%",IF(K396&lt;1.1,"100%-109.99%",IF(K396&lt;1.75,"110%-174.99%","175%+ Review")))))</x:f>
        <x:v>80%-99.99%</x:v>
      </x:c>
      <x:c r="M396" s="56" t="str">
        <x:v>Ready for Commission Calculation</x:v>
      </x:c>
      <x:c r="N396" s="74" t="n">
        <x:f>IF(E396&lt;=0,0,MIN(G396,E396*0.8)*0.01+MAX(0,MIN(G396,E396)-E396*0.8)*0.02)</x:f>
        <x:v>1682.6438</x:v>
      </x:c>
      <x:c r="O396" s="74" t="n">
        <x:f>IF(E396&lt;=0,0,MAX(0,MIN(G396,E396*1.1)-E396)*0.035+MAX(0,G396-E396*1.1)*0.05)</x:f>
        <x:v>0</x:v>
      </x:c>
      <x:c r="P396" s="74" t="n">
        <x:f>N396+O396</x:f>
        <x:v>1682.6438</x:v>
      </x:c>
      <x:c r="Q396" s="76" t="n">
        <x:f>IF(G396&lt;=0,0,P396/G396)</x:f>
        <x:v>0.011031401306176749</x:v>
      </x:c>
    </x:row>
    <x:row r="397">
      <x:c r="A397" s="56" t="str">
        <x:v>EMP033</x:v>
      </x:c>
      <x:c r="B397" s="56" t="str">
        <x:v>Marcus Chen</x:v>
      </x:c>
      <x:c r="C397" s="56" t="str">
        <x:v>Senior AE</x:v>
      </x:c>
      <x:c r="D397" s="56" t="str">
        <x:v>2026-12</x:v>
      </x:c>
      <x:c r="E397" s="72" t="n">
        <x:v>190000</x:v>
      </x:c>
      <x:c r="F397" s="72" t="n">
        <x:v>167719.97000000003</x:v>
      </x:c>
      <x:c r="G397" s="72" t="n">
        <x:v>167400.13000000003</x:v>
      </x:c>
      <x:c r="H397" s="72" t="n">
        <x:v>319.84</x:v>
      </x:c>
      <x:c r="I397" s="56" t="n">
        <x:v>0</x:v>
      </x:c>
      <x:c r="J397" s="56" t="n">
        <x:v>0</x:v>
      </x:c>
      <x:c r="K397" s="68" t="n">
        <x:f>IF(E397&lt;=0,"",G397/E397)</x:f>
        <x:v>0.8810533157894739</x:v>
      </x:c>
      <x:c r="L397" t="str">
        <x:f>IF(K397="","Not Calculated",IF(K397&lt;0.8,"Below 80%",IF(K397&lt;1,"80%-99.99%",IF(K397&lt;1.1,"100%-109.99%",IF(K397&lt;1.75,"110%-174.99%","175%+ Review")))))</x:f>
        <x:v>80%-99.99%</x:v>
      </x:c>
      <x:c r="M397" s="56" t="str">
        <x:v>Ready for Commission Calculation</x:v>
      </x:c>
      <x:c r="N397" s="74" t="n">
        <x:f>IF(E397&lt;=0,0,MIN(G397,E397*0.8)*0.01+MAX(0,MIN(G397,E397)-E397*0.8)*0.02)</x:f>
        <x:v>1828.0026000000007</x:v>
      </x:c>
      <x:c r="O397" s="74" t="n">
        <x:f>IF(E397&lt;=0,0,MAX(0,MIN(G397,E397*1.1)-E397)*0.035+MAX(0,G397-E397*1.1)*0.05)</x:f>
        <x:v>0</x:v>
      </x:c>
      <x:c r="P397" s="74" t="n">
        <x:f>N397+O397</x:f>
        <x:v>1828.0026000000007</x:v>
      </x:c>
      <x:c r="Q397" s="76" t="n">
        <x:f>IF(G397&lt;=0,0,P397/G397)</x:f>
        <x:v>0.010919959261680384</x:v>
      </x:c>
    </x:row>
    <x:row r="398">
      <x:c r="A398" s="56" t="str">
        <x:v>EMP034</x:v>
      </x:c>
      <x:c r="B398" s="56" t="str">
        <x:v>Priyanka Nair</x:v>
      </x:c>
      <x:c r="C398" s="56" t="str">
        <x:v>Senior AE</x:v>
      </x:c>
      <x:c r="D398" s="56" t="str">
        <x:v>2026-01</x:v>
      </x:c>
      <x:c r="E398" s="72" t="n">
        <x:v>115500.00000000001</x:v>
      </x:c>
      <x:c r="F398" s="72" t="n">
        <x:v>111471.79</x:v>
      </x:c>
      <x:c r="G398" s="72" t="n">
        <x:v>110955.62999999999</x:v>
      </x:c>
      <x:c r="H398" s="72" t="n">
        <x:v>516.16</x:v>
      </x:c>
      <x:c r="I398" s="56" t="n">
        <x:v>0</x:v>
      </x:c>
      <x:c r="J398" s="56" t="n">
        <x:v>0</x:v>
      </x:c>
      <x:c r="K398" s="68" t="n">
        <x:f>IF(E398&lt;=0,"",G398/E398)</x:f>
        <x:v>0.960654805194805</x:v>
      </x:c>
      <x:c r="L398" t="str">
        <x:f>IF(K398="","Not Calculated",IF(K398&lt;0.8,"Below 80%",IF(K398&lt;1,"80%-99.99%",IF(K398&lt;1.1,"100%-109.99%",IF(K398&lt;1.75,"110%-174.99%","175%+ Review")))))</x:f>
        <x:v>80%-99.99%</x:v>
      </x:c>
      <x:c r="M398" s="56" t="str">
        <x:v>Ready for Commission Calculation</x:v>
      </x:c>
      <x:c r="N398" s="74" t="n">
        <x:f>IF(E398&lt;=0,0,MIN(G398,E398*0.8)*0.01+MAX(0,MIN(G398,E398)-E398*0.8)*0.02)</x:f>
        <x:v>1295.1125999999997</x:v>
      </x:c>
      <x:c r="O398" s="74" t="n">
        <x:f>IF(E398&lt;=0,0,MAX(0,MIN(G398,E398*1.1)-E398)*0.035+MAX(0,G398-E398*1.1)*0.05)</x:f>
        <x:v>0</x:v>
      </x:c>
      <x:c r="P398" s="74" t="n">
        <x:f>N398+O398</x:f>
        <x:v>1295.1125999999997</x:v>
      </x:c>
      <x:c r="Q398" s="76" t="n">
        <x:f>IF(G398&lt;=0,0,P398/G398)</x:f>
        <x:v>0.011672346865138792</x:v>
      </x:c>
    </x:row>
    <x:row r="399">
      <x:c r="A399" s="56" t="str">
        <x:v>EMP034</x:v>
      </x:c>
      <x:c r="B399" s="56" t="str">
        <x:v>Priyanka Nair</x:v>
      </x:c>
      <x:c r="C399" s="56" t="str">
        <x:v>Senior AE</x:v>
      </x:c>
      <x:c r="D399" s="56" t="str">
        <x:v>2026-02</x:v>
      </x:c>
      <x:c r="E399" s="72" t="n">
        <x:v>115500.00000000001</x:v>
      </x:c>
      <x:c r="F399" s="72" t="n">
        <x:v>114057.56</x:v>
      </x:c>
      <x:c r="G399" s="72" t="n">
        <x:v>112985.58</x:v>
      </x:c>
      <x:c r="H399" s="72" t="n">
        <x:v>1071.98</x:v>
      </x:c>
      <x:c r="I399" s="56" t="n">
        <x:v>0</x:v>
      </x:c>
      <x:c r="J399" s="56" t="n">
        <x:v>0</x:v>
      </x:c>
      <x:c r="K399" s="68" t="n">
        <x:f>IF(E399&lt;=0,"",G399/E399)</x:f>
        <x:v>0.9782301298701298</x:v>
      </x:c>
      <x:c r="L399" t="str">
        <x:f>IF(K399="","Not Calculated",IF(K399&lt;0.8,"Below 80%",IF(K399&lt;1,"80%-99.99%",IF(K399&lt;1.1,"100%-109.99%",IF(K399&lt;1.75,"110%-174.99%","175%+ Review")))))</x:f>
        <x:v>80%-99.99%</x:v>
      </x:c>
      <x:c r="M399" s="56" t="str">
        <x:v>Ready for Commission Calculation</x:v>
      </x:c>
      <x:c r="N399" s="74" t="n">
        <x:f>IF(E399&lt;=0,0,MIN(G399,E399*0.8)*0.01+MAX(0,MIN(G399,E399)-E399*0.8)*0.02)</x:f>
        <x:v>1335.7115999999999</x:v>
      </x:c>
      <x:c r="O399" s="74" t="n">
        <x:f>IF(E399&lt;=0,0,MAX(0,MIN(G399,E399*1.1)-E399)*0.035+MAX(0,G399-E399*1.1)*0.05)</x:f>
        <x:v>0</x:v>
      </x:c>
      <x:c r="P399" s="74" t="n">
        <x:f>N399+O399</x:f>
        <x:v>1335.7115999999999</x:v>
      </x:c>
      <x:c r="Q399" s="76" t="n">
        <x:f>IF(G399&lt;=0,0,P399/G399)</x:f>
        <x:v>0.011821965245476457</x:v>
      </x:c>
    </x:row>
    <x:row r="400">
      <x:c r="A400" s="56" t="str">
        <x:v>EMP034</x:v>
      </x:c>
      <x:c r="B400" s="56" t="str">
        <x:v>Priyanka Nair</x:v>
      </x:c>
      <x:c r="C400" s="56" t="str">
        <x:v>Senior AE</x:v>
      </x:c>
      <x:c r="D400" s="56" t="str">
        <x:v>2026-03</x:v>
      </x:c>
      <x:c r="E400" s="72" t="n">
        <x:v>132000</x:v>
      </x:c>
      <x:c r="F400" s="72" t="n">
        <x:v>125181.74000000002</x:v>
      </x:c>
      <x:c r="G400" s="72" t="n">
        <x:v>124971.67000000001</x:v>
      </x:c>
      <x:c r="H400" s="72" t="n">
        <x:v>210.07</x:v>
      </x:c>
      <x:c r="I400" s="56" t="n">
        <x:v>0</x:v>
      </x:c>
      <x:c r="J400" s="56" t="n">
        <x:v>0</x:v>
      </x:c>
      <x:c r="K400" s="68" t="n">
        <x:f>IF(E400&lt;=0,"",G400/E400)</x:f>
        <x:v>0.9467550757575759</x:v>
      </x:c>
      <x:c r="L400" t="str">
        <x:f>IF(K400="","Not Calculated",IF(K400&lt;0.8,"Below 80%",IF(K400&lt;1,"80%-99.99%",IF(K400&lt;1.1,"100%-109.99%",IF(K400&lt;1.75,"110%-174.99%","175%+ Review")))))</x:f>
        <x:v>80%-99.99%</x:v>
      </x:c>
      <x:c r="M400" s="56" t="str">
        <x:v>Ready for Commission Calculation</x:v>
      </x:c>
      <x:c r="N400" s="74" t="n">
        <x:f>IF(E400&lt;=0,0,MIN(G400,E400*0.8)*0.01+MAX(0,MIN(G400,E400)-E400*0.8)*0.02)</x:f>
        <x:v>1443.4334000000003</x:v>
      </x:c>
      <x:c r="O400" s="74" t="n">
        <x:f>IF(E400&lt;=0,0,MAX(0,MIN(G400,E400*1.1)-E400)*0.035+MAX(0,G400-E400*1.1)*0.05)</x:f>
        <x:v>0</x:v>
      </x:c>
      <x:c r="P400" s="74" t="n">
        <x:f>N400+O400</x:f>
        <x:v>1443.4334000000003</x:v>
      </x:c>
      <x:c r="Q400" s="76" t="n">
        <x:f>IF(G400&lt;=0,0,P400/G400)</x:f>
        <x:v>0.011550084911244285</x:v>
      </x:c>
    </x:row>
    <x:row r="401">
      <x:c r="A401" s="56" t="str">
        <x:v>EMP034</x:v>
      </x:c>
      <x:c r="B401" s="56" t="str">
        <x:v>Priyanka Nair</x:v>
      </x:c>
      <x:c r="C401" s="56" t="str">
        <x:v>Senior AE</x:v>
      </x:c>
      <x:c r="D401" s="56" t="str">
        <x:v>2026-04</x:v>
      </x:c>
      <x:c r="E401" s="72" t="n">
        <x:v>132000</x:v>
      </x:c>
      <x:c r="F401" s="72" t="n">
        <x:v>124171.25999999998</x:v>
      </x:c>
      <x:c r="G401" s="72" t="n">
        <x:v>122457.50999999998</x:v>
      </x:c>
      <x:c r="H401" s="72" t="n">
        <x:v>1713.75</x:v>
      </x:c>
      <x:c r="I401" s="56" t="n">
        <x:v>0</x:v>
      </x:c>
      <x:c r="J401" s="56" t="n">
        <x:v>0</x:v>
      </x:c>
      <x:c r="K401" s="68" t="n">
        <x:f>IF(E401&lt;=0,"",G401/E401)</x:f>
        <x:v>0.9277084090909089</x:v>
      </x:c>
      <x:c r="L401" t="str">
        <x:f>IF(K401="","Not Calculated",IF(K401&lt;0.8,"Below 80%",IF(K401&lt;1,"80%-99.99%",IF(K401&lt;1.1,"100%-109.99%",IF(K401&lt;1.75,"110%-174.99%","175%+ Review")))))</x:f>
        <x:v>80%-99.99%</x:v>
      </x:c>
      <x:c r="M401" s="56" t="str">
        <x:v>Ready for Commission Calculation</x:v>
      </x:c>
      <x:c r="N401" s="74" t="n">
        <x:f>IF(E401&lt;=0,0,MIN(G401,E401*0.8)*0.01+MAX(0,MIN(G401,E401)-E401*0.8)*0.02)</x:f>
        <x:v>1393.1501999999996</x:v>
      </x:c>
      <x:c r="O401" s="74" t="n">
        <x:f>IF(E401&lt;=0,0,MAX(0,MIN(G401,E401*1.1)-E401)*0.035+MAX(0,G401-E401*1.1)*0.05)</x:f>
        <x:v>0</x:v>
      </x:c>
      <x:c r="P401" s="74" t="n">
        <x:f>N401+O401</x:f>
        <x:v>1393.1501999999996</x:v>
      </x:c>
      <x:c r="Q401" s="76" t="n">
        <x:f>IF(G401&lt;=0,0,P401/G401)</x:f>
        <x:v>0.011376600749108812</x:v>
      </x:c>
    </x:row>
    <x:row r="402">
      <x:c r="A402" s="56" t="str">
        <x:v>EMP034</x:v>
      </x:c>
      <x:c r="B402" s="56" t="str">
        <x:v>Priyanka Nair</x:v>
      </x:c>
      <x:c r="C402" s="56" t="str">
        <x:v>Senior AE</x:v>
      </x:c>
      <x:c r="D402" s="56" t="str">
        <x:v>2026-05</x:v>
      </x:c>
      <x:c r="E402" s="72" t="n">
        <x:v>132000</x:v>
      </x:c>
      <x:c r="F402" s="72" t="n">
        <x:v>132219.41</x:v>
      </x:c>
      <x:c r="G402" s="72" t="n">
        <x:v>131682.28</x:v>
      </x:c>
      <x:c r="H402" s="72" t="n">
        <x:v>537.13</x:v>
      </x:c>
      <x:c r="I402" s="56" t="n">
        <x:v>0</x:v>
      </x:c>
      <x:c r="J402" s="56" t="n">
        <x:v>0</x:v>
      </x:c>
      <x:c r="K402" s="68" t="n">
        <x:f>IF(E402&lt;=0,"",G402/E402)</x:f>
        <x:v>0.9975930303030303</x:v>
      </x:c>
      <x:c r="L402" t="str">
        <x:f>IF(K402="","Not Calculated",IF(K402&lt;0.8,"Below 80%",IF(K402&lt;1,"80%-99.99%",IF(K402&lt;1.1,"100%-109.99%",IF(K402&lt;1.75,"110%-174.99%","175%+ Review")))))</x:f>
        <x:v>80%-99.99%</x:v>
      </x:c>
      <x:c r="M402" s="56" t="str">
        <x:v>Ready for Commission Calculation</x:v>
      </x:c>
      <x:c r="N402" s="74" t="n">
        <x:f>IF(E402&lt;=0,0,MIN(G402,E402*0.8)*0.01+MAX(0,MIN(G402,E402)-E402*0.8)*0.02)</x:f>
        <x:v>1577.6455999999998</x:v>
      </x:c>
      <x:c r="O402" s="74" t="n">
        <x:f>IF(E402&lt;=0,0,MAX(0,MIN(G402,E402*1.1)-E402)*0.035+MAX(0,G402-E402*1.1)*0.05)</x:f>
        <x:v>0</x:v>
      </x:c>
      <x:c r="P402" s="74" t="n">
        <x:f>N402+O402</x:f>
        <x:v>1577.6455999999998</x:v>
      </x:c>
      <x:c r="Q402" s="76" t="n">
        <x:f>IF(G402&lt;=0,0,P402/G402)</x:f>
        <x:v>0.011980697782571808</x:v>
      </x:c>
    </x:row>
    <x:row r="403">
      <x:c r="A403" s="56" t="str">
        <x:v>EMP034</x:v>
      </x:c>
      <x:c r="B403" s="56" t="str">
        <x:v>Priyanka Nair</x:v>
      </x:c>
      <x:c r="C403" s="56" t="str">
        <x:v>Senior AE</x:v>
      </x:c>
      <x:c r="D403" s="56" t="str">
        <x:v>2026-06</x:v>
      </x:c>
      <x:c r="E403" s="72" t="n">
        <x:v>148500</x:v>
      </x:c>
      <x:c r="F403" s="72" t="n">
        <x:v>143876.66000000003</x:v>
      </x:c>
      <x:c r="G403" s="72" t="n">
        <x:v>136384.38</x:v>
      </x:c>
      <x:c r="H403" s="72" t="n">
        <x:v>7492.28</x:v>
      </x:c>
      <x:c r="I403" s="56" t="n">
        <x:v>0</x:v>
      </x:c>
      <x:c r="J403" s="56" t="n">
        <x:v>0</x:v>
      </x:c>
      <x:c r="K403" s="68" t="n">
        <x:f>IF(E403&lt;=0,"",G403/E403)</x:f>
        <x:v>0.9184133333333334</x:v>
      </x:c>
      <x:c r="L403" t="str">
        <x:f>IF(K403="","Not Calculated",IF(K403&lt;0.8,"Below 80%",IF(K403&lt;1,"80%-99.99%",IF(K403&lt;1.1,"100%-109.99%",IF(K403&lt;1.75,"110%-174.99%","175%+ Review")))))</x:f>
        <x:v>80%-99.99%</x:v>
      </x:c>
      <x:c r="M403" s="56" t="str">
        <x:v>Ready for Commission Calculation</x:v>
      </x:c>
      <x:c r="N403" s="74" t="n">
        <x:f>IF(E403&lt;=0,0,MIN(G403,E403*0.8)*0.01+MAX(0,MIN(G403,E403)-E403*0.8)*0.02)</x:f>
        <x:v>1539.6876000000002</x:v>
      </x:c>
      <x:c r="O403" s="74" t="n">
        <x:f>IF(E403&lt;=0,0,MAX(0,MIN(G403,E403*1.1)-E403)*0.035+MAX(0,G403-E403*1.1)*0.05)</x:f>
        <x:v>0</x:v>
      </x:c>
      <x:c r="P403" s="74" t="n">
        <x:f>N403+O403</x:f>
        <x:v>1539.6876000000002</x:v>
      </x:c>
      <x:c r="Q403" s="76" t="n">
        <x:f>IF(G403&lt;=0,0,P403/G403)</x:f>
        <x:v>0.011289325067870677</x:v>
      </x:c>
    </x:row>
    <x:row r="404">
      <x:c r="A404" s="56" t="str">
        <x:v>EMP034</x:v>
      </x:c>
      <x:c r="B404" s="56" t="str">
        <x:v>Priyanka Nair</x:v>
      </x:c>
      <x:c r="C404" s="56" t="str">
        <x:v>Senior AE</x:v>
      </x:c>
      <x:c r="D404" s="56" t="str">
        <x:v>2026-07</x:v>
      </x:c>
      <x:c r="E404" s="72" t="n">
        <x:v>115500.00000000001</x:v>
      </x:c>
      <x:c r="F404" s="72" t="n">
        <x:v>125269.11</x:v>
      </x:c>
      <x:c r="G404" s="72" t="n">
        <x:v>125077.03</x:v>
      </x:c>
      <x:c r="H404" s="72" t="n">
        <x:v>192.08</x:v>
      </x:c>
      <x:c r="I404" s="56" t="n">
        <x:v>0</x:v>
      </x:c>
      <x:c r="J404" s="56" t="n">
        <x:v>0</x:v>
      </x:c>
      <x:c r="K404" s="68" t="n">
        <x:f>IF(E404&lt;=0,"",G404/E404)</x:f>
        <x:v>1.0829180086580086</x:v>
      </x:c>
      <x:c r="L404" t="str">
        <x:f>IF(K404="","Not Calculated",IF(K404&lt;0.8,"Below 80%",IF(K404&lt;1,"80%-99.99%",IF(K404&lt;1.1,"100%-109.99%",IF(K404&lt;1.75,"110%-174.99%","175%+ Review")))))</x:f>
        <x:v>100%-109.99%</x:v>
      </x:c>
      <x:c r="M404" s="56" t="str">
        <x:v>Ready for Commission Calculation</x:v>
      </x:c>
      <x:c r="N404" s="74" t="n">
        <x:f>IF(E404&lt;=0,0,MIN(G404,E404*0.8)*0.01+MAX(0,MIN(G404,E404)-E404*0.8)*0.02)</x:f>
        <x:v>1386</x:v>
      </x:c>
      <x:c r="O404" s="74" t="n">
        <x:f>IF(E404&lt;=0,0,MAX(0,MIN(G404,E404*1.1)-E404)*0.035+MAX(0,G404-E404*1.1)*0.05)</x:f>
        <x:v>335.1960499999995</x:v>
      </x:c>
      <x:c r="P404" s="74" t="n">
        <x:f>N404+O404</x:f>
        <x:v>1721.1960499999996</x:v>
      </x:c>
      <x:c r="Q404" s="76" t="n">
        <x:f>IF(G404&lt;=0,0,P404/G404)</x:f>
        <x:v>0.013761088266966362</x:v>
      </x:c>
    </x:row>
    <x:row r="405">
      <x:c r="A405" s="56" t="str">
        <x:v>EMP034</x:v>
      </x:c>
      <x:c r="B405" s="56" t="str">
        <x:v>Priyanka Nair</x:v>
      </x:c>
      <x:c r="C405" s="56" t="str">
        <x:v>Senior AE</x:v>
      </x:c>
      <x:c r="D405" s="56" t="str">
        <x:v>2026-08</x:v>
      </x:c>
      <x:c r="E405" s="72" t="n">
        <x:v>115500.00000000001</x:v>
      </x:c>
      <x:c r="F405" s="72" t="n">
        <x:v>106488.45</x:v>
      </x:c>
      <x:c r="G405" s="72" t="n">
        <x:v>104738.8</x:v>
      </x:c>
      <x:c r="H405" s="72" t="n">
        <x:v>1749.65</x:v>
      </x:c>
      <x:c r="I405" s="56" t="n">
        <x:v>0</x:v>
      </x:c>
      <x:c r="J405" s="56" t="n">
        <x:v>0</x:v>
      </x:c>
      <x:c r="K405" s="68" t="n">
        <x:f>IF(E405&lt;=0,"",G405/E405)</x:f>
        <x:v>0.9068294372294371</x:v>
      </x:c>
      <x:c r="L405" t="str">
        <x:f>IF(K405="","Not Calculated",IF(K405&lt;0.8,"Below 80%",IF(K405&lt;1,"80%-99.99%",IF(K405&lt;1.1,"100%-109.99%",IF(K405&lt;1.75,"110%-174.99%","175%+ Review")))))</x:f>
        <x:v>80%-99.99%</x:v>
      </x:c>
      <x:c r="M405" s="56" t="str">
        <x:v>Ready for Commission Calculation</x:v>
      </x:c>
      <x:c r="N405" s="74" t="n">
        <x:f>IF(E405&lt;=0,0,MIN(G405,E405*0.8)*0.01+MAX(0,MIN(G405,E405)-E405*0.8)*0.02)</x:f>
        <x:v>1170.7759999999998</x:v>
      </x:c>
      <x:c r="O405" s="74" t="n">
        <x:f>IF(E405&lt;=0,0,MAX(0,MIN(G405,E405*1.1)-E405)*0.035+MAX(0,G405-E405*1.1)*0.05)</x:f>
        <x:v>0</x:v>
      </x:c>
      <x:c r="P405" s="74" t="n">
        <x:f>N405+O405</x:f>
        <x:v>1170.7759999999998</x:v>
      </x:c>
      <x:c r="Q405" s="76" t="n">
        <x:f>IF(G405&lt;=0,0,P405/G405)</x:f>
        <x:v>0.011178054359988846</x:v>
      </x:c>
    </x:row>
    <x:row r="406">
      <x:c r="A406" s="56" t="str">
        <x:v>EMP034</x:v>
      </x:c>
      <x:c r="B406" s="56" t="str">
        <x:v>Priyanka Nair</x:v>
      </x:c>
      <x:c r="C406" s="56" t="str">
        <x:v>Senior AE</x:v>
      </x:c>
      <x:c r="D406" s="56" t="str">
        <x:v>2026-09</x:v>
      </x:c>
      <x:c r="E406" s="72" t="n">
        <x:v>165000</x:v>
      </x:c>
      <x:c r="F406" s="72" t="n">
        <x:v>310199.99999999994</x:v>
      </x:c>
      <x:c r="G406" s="72" t="n">
        <x:v>310199.99999999994</x:v>
      </x:c>
      <x:c r="H406" s="72" t="n">
        <x:v>0</x:v>
      </x:c>
      <x:c r="I406" s="56" t="n">
        <x:v>0</x:v>
      </x:c>
      <x:c r="J406" s="56" t="n">
        <x:v>0</x:v>
      </x:c>
      <x:c r="K406" s="68" t="n">
        <x:f>IF(E406&lt;=0,"",G406/E406)</x:f>
        <x:v>1.8799999999999997</x:v>
      </x:c>
      <x:c r="L406" t="str">
        <x:f>IF(K406="","Not Calculated",IF(K406&lt;0.8,"Below 80%",IF(K406&lt;1,"80%-99.99%",IF(K406&lt;1.1,"100%-109.99%",IF(K406&lt;1.75,"110%-174.99%","175%+ Review")))))</x:f>
        <x:v>175%+ Review</x:v>
      </x:c>
      <x:c r="M406" s="56" t="str">
        <x:v>Review - High Attainment</x:v>
      </x:c>
      <x:c r="N406" s="74" t="n">
        <x:f>IF(E406&lt;=0,0,MIN(G406,E406*0.8)*0.01+MAX(0,MIN(G406,E406)-E406*0.8)*0.02)</x:f>
        <x:v>1980</x:v>
      </x:c>
      <x:c r="O406" s="74" t="n">
        <x:f>IF(E406&lt;=0,0,MAX(0,MIN(G406,E406*1.1)-E406)*0.035+MAX(0,G406-E406*1.1)*0.05)</x:f>
        <x:v>7012.499999999997</x:v>
      </x:c>
      <x:c r="P406" s="74" t="n">
        <x:f>N406+O406</x:f>
        <x:v>8992.499999999996</x:v>
      </x:c>
      <x:c r="Q406" s="76" t="n">
        <x:f>IF(G406&lt;=0,0,P406/G406)</x:f>
        <x:v>0.028989361702127653</x:v>
      </x:c>
    </x:row>
    <x:row r="407">
      <x:c r="A407" s="56" t="str">
        <x:v>EMP034</x:v>
      </x:c>
      <x:c r="B407" s="56" t="str">
        <x:v>Priyanka Nair</x:v>
      </x:c>
      <x:c r="C407" s="56" t="str">
        <x:v>Senior AE</x:v>
      </x:c>
      <x:c r="D407" s="56" t="str">
        <x:v>2026-10</x:v>
      </x:c>
      <x:c r="E407" s="72" t="n">
        <x:v>165000</x:v>
      </x:c>
      <x:c r="F407" s="72" t="n">
        <x:v>158459.65</x:v>
      </x:c>
      <x:c r="G407" s="72" t="n">
        <x:v>157106.59999999998</x:v>
      </x:c>
      <x:c r="H407" s="72" t="n">
        <x:v>1353.05</x:v>
      </x:c>
      <x:c r="I407" s="56" t="n">
        <x:v>0</x:v>
      </x:c>
      <x:c r="J407" s="56" t="n">
        <x:v>0</x:v>
      </x:c>
      <x:c r="K407" s="68" t="n">
        <x:f>IF(E407&lt;=0,"",G407/E407)</x:f>
        <x:v>0.952161212121212</x:v>
      </x:c>
      <x:c r="L407" t="str">
        <x:f>IF(K407="","Not Calculated",IF(K407&lt;0.8,"Below 80%",IF(K407&lt;1,"80%-99.99%",IF(K407&lt;1.1,"100%-109.99%",IF(K407&lt;1.75,"110%-174.99%","175%+ Review")))))</x:f>
        <x:v>80%-99.99%</x:v>
      </x:c>
      <x:c r="M407" s="56" t="str">
        <x:v>Ready for Commission Calculation</x:v>
      </x:c>
      <x:c r="N407" s="74" t="n">
        <x:f>IF(E407&lt;=0,0,MIN(G407,E407*0.8)*0.01+MAX(0,MIN(G407,E407)-E407*0.8)*0.02)</x:f>
        <x:v>1822.1319999999996</x:v>
      </x:c>
      <x:c r="O407" s="74" t="n">
        <x:f>IF(E407&lt;=0,0,MAX(0,MIN(G407,E407*1.1)-E407)*0.035+MAX(0,G407-E407*1.1)*0.05)</x:f>
        <x:v>0</x:v>
      </x:c>
      <x:c r="P407" s="74" t="n">
        <x:f>N407+O407</x:f>
        <x:v>1822.1319999999996</x:v>
      </x:c>
      <x:c r="Q407" s="76" t="n">
        <x:f>IF(G407&lt;=0,0,P407/G407)</x:f>
        <x:v>0.011598061443631267</x:v>
      </x:c>
    </x:row>
    <x:row r="408">
      <x:c r="A408" s="56" t="str">
        <x:v>EMP034</x:v>
      </x:c>
      <x:c r="B408" s="56" t="str">
        <x:v>Priyanka Nair</x:v>
      </x:c>
      <x:c r="C408" s="56" t="str">
        <x:v>Senior AE</x:v>
      </x:c>
      <x:c r="D408" s="56" t="str">
        <x:v>2026-11</x:v>
      </x:c>
      <x:c r="E408" s="72" t="n">
        <x:v>148500</x:v>
      </x:c>
      <x:c r="F408" s="72" t="n">
        <x:v>129094.11000000002</x:v>
      </x:c>
      <x:c r="G408" s="72" t="n">
        <x:v>128496.23000000001</x:v>
      </x:c>
      <x:c r="H408" s="72" t="n">
        <x:v>597.88</x:v>
      </x:c>
      <x:c r="I408" s="56" t="n">
        <x:v>0</x:v>
      </x:c>
      <x:c r="J408" s="56" t="n">
        <x:v>0</x:v>
      </x:c>
      <x:c r="K408" s="68" t="n">
        <x:f>IF(E408&lt;=0,"",G408/E408)</x:f>
        <x:v>0.8652944781144782</x:v>
      </x:c>
      <x:c r="L408" t="str">
        <x:f>IF(K408="","Not Calculated",IF(K408&lt;0.8,"Below 80%",IF(K408&lt;1,"80%-99.99%",IF(K408&lt;1.1,"100%-109.99%",IF(K408&lt;1.75,"110%-174.99%","175%+ Review")))))</x:f>
        <x:v>80%-99.99%</x:v>
      </x:c>
      <x:c r="M408" s="56" t="str">
        <x:v>Ready for Commission Calculation</x:v>
      </x:c>
      <x:c r="N408" s="74" t="n">
        <x:f>IF(E408&lt;=0,0,MIN(G408,E408*0.8)*0.01+MAX(0,MIN(G408,E408)-E408*0.8)*0.02)</x:f>
        <x:v>1381.9246000000003</x:v>
      </x:c>
      <x:c r="O408" s="74" t="n">
        <x:f>IF(E408&lt;=0,0,MAX(0,MIN(G408,E408*1.1)-E408)*0.035+MAX(0,G408-E408*1.1)*0.05)</x:f>
        <x:v>0</x:v>
      </x:c>
      <x:c r="P408" s="74" t="n">
        <x:f>N408+O408</x:f>
        <x:v>1381.9246000000003</x:v>
      </x:c>
      <x:c r="Q408" s="76" t="n">
        <x:f>IF(G408&lt;=0,0,P408/G408)</x:f>
        <x:v>0.01075459256664573</x:v>
      </x:c>
    </x:row>
    <x:row r="409">
      <x:c r="A409" s="56" t="str">
        <x:v>EMP034</x:v>
      </x:c>
      <x:c r="B409" s="56" t="str">
        <x:v>Priyanka Nair</x:v>
      </x:c>
      <x:c r="C409" s="56" t="str">
        <x:v>Senior AE</x:v>
      </x:c>
      <x:c r="D409" s="56" t="str">
        <x:v>2026-12</x:v>
      </x:c>
      <x:c r="E409" s="72" t="n">
        <x:v>165000</x:v>
      </x:c>
      <x:c r="F409" s="72" t="n">
        <x:v>161034.72</x:v>
      </x:c>
      <x:c r="G409" s="72" t="n">
        <x:v>160387.15</x:v>
      </x:c>
      <x:c r="H409" s="72" t="n">
        <x:v>647.57</x:v>
      </x:c>
      <x:c r="I409" s="56" t="n">
        <x:v>0</x:v>
      </x:c>
      <x:c r="J409" s="56" t="n">
        <x:v>0</x:v>
      </x:c>
      <x:c r="K409" s="68" t="n">
        <x:f>IF(E409&lt;=0,"",G409/E409)</x:f>
        <x:v>0.9720433333333333</x:v>
      </x:c>
      <x:c r="L409" t="str">
        <x:f>IF(K409="","Not Calculated",IF(K409&lt;0.8,"Below 80%",IF(K409&lt;1,"80%-99.99%",IF(K409&lt;1.1,"100%-109.99%",IF(K409&lt;1.75,"110%-174.99%","175%+ Review")))))</x:f>
        <x:v>80%-99.99%</x:v>
      </x:c>
      <x:c r="M409" s="56" t="str">
        <x:v>Ready for Commission Calculation</x:v>
      </x:c>
      <x:c r="N409" s="74" t="n">
        <x:f>IF(E409&lt;=0,0,MIN(G409,E409*0.8)*0.01+MAX(0,MIN(G409,E409)-E409*0.8)*0.02)</x:f>
        <x:v>1887.743</x:v>
      </x:c>
      <x:c r="O409" s="74" t="n">
        <x:f>IF(E409&lt;=0,0,MAX(0,MIN(G409,E409*1.1)-E409)*0.035+MAX(0,G409-E409*1.1)*0.05)</x:f>
        <x:v>0</x:v>
      </x:c>
      <x:c r="P409" s="74" t="n">
        <x:f>N409+O409</x:f>
        <x:v>1887.743</x:v>
      </x:c>
      <x:c r="Q409" s="76" t="n">
        <x:f>IF(G409&lt;=0,0,P409/G409)</x:f>
        <x:v>0.011769914235647931</x:v>
      </x:c>
    </x:row>
    <x:row r="410">
      <x:c r="A410" s="56" t="str">
        <x:v>EMP035</x:v>
      </x:c>
      <x:c r="B410" s="56" t="str">
        <x:v>Cole Richardson</x:v>
      </x:c>
      <x:c r="C410" s="56" t="str">
        <x:v>Senior AE</x:v>
      </x:c>
      <x:c r="D410" s="56" t="str">
        <x:v>2026-01</x:v>
      </x:c>
      <x:c r="E410" s="72" t="n">
        <x:v>134400</x:v>
      </x:c>
      <x:c r="F410" s="72" t="n">
        <x:v>128861.1</x:v>
      </x:c>
      <x:c r="G410" s="72" t="n">
        <x:v>128861.1</x:v>
      </x:c>
      <x:c r="H410" s="72" t="n">
        <x:v>0</x:v>
      </x:c>
      <x:c r="I410" s="56" t="n">
        <x:v>0</x:v>
      </x:c>
      <x:c r="J410" s="56" t="n">
        <x:v>0</x:v>
      </x:c>
      <x:c r="K410" s="68" t="n">
        <x:f>IF(E410&lt;=0,"",G410/E410)</x:f>
        <x:v>0.9587879464285715</x:v>
      </x:c>
      <x:c r="L410" t="str">
        <x:f>IF(K410="","Not Calculated",IF(K410&lt;0.8,"Below 80%",IF(K410&lt;1,"80%-99.99%",IF(K410&lt;1.1,"100%-109.99%",IF(K410&lt;1.75,"110%-174.99%","175%+ Review")))))</x:f>
        <x:v>80%-99.99%</x:v>
      </x:c>
      <x:c r="M410" s="56" t="str">
        <x:v>Ready for Commission Calculation</x:v>
      </x:c>
      <x:c r="N410" s="74" t="n">
        <x:f>IF(E410&lt;=0,0,MIN(G410,E410*0.8)*0.01+MAX(0,MIN(G410,E410)-E410*0.8)*0.02)</x:f>
        <x:v>1502.0220000000002</x:v>
      </x:c>
      <x:c r="O410" s="74" t="n">
        <x:f>IF(E410&lt;=0,0,MAX(0,MIN(G410,E410*1.1)-E410)*0.035+MAX(0,G410-E410*1.1)*0.05)</x:f>
        <x:v>0</x:v>
      </x:c>
      <x:c r="P410" s="74" t="n">
        <x:f>N410+O410</x:f>
        <x:v>1502.0220000000002</x:v>
      </x:c>
      <x:c r="Q410" s="76" t="n">
        <x:f>IF(G410&lt;=0,0,P410/G410)</x:f>
        <x:v>0.011656132067784616</x:v>
      </x:c>
    </x:row>
    <x:row r="411">
      <x:c r="A411" s="56" t="str">
        <x:v>EMP035</x:v>
      </x:c>
      <x:c r="B411" s="56" t="str">
        <x:v>Cole Richardson</x:v>
      </x:c>
      <x:c r="C411" s="56" t="str">
        <x:v>Senior AE</x:v>
      </x:c>
      <x:c r="D411" s="56" t="str">
        <x:v>2026-02</x:v>
      </x:c>
      <x:c r="E411" s="72" t="n">
        <x:v>134400</x:v>
      </x:c>
      <x:c r="F411" s="72" t="n">
        <x:v>100030.95</x:v>
      </x:c>
      <x:c r="G411" s="72" t="n">
        <x:v>99882.19</x:v>
      </x:c>
      <x:c r="H411" s="72" t="n">
        <x:v>148.76</x:v>
      </x:c>
      <x:c r="I411" s="56" t="n">
        <x:v>0</x:v>
      </x:c>
      <x:c r="J411" s="56" t="n">
        <x:v>0</x:v>
      </x:c>
      <x:c r="K411" s="68" t="n">
        <x:f>IF(E411&lt;=0,"",G411/E411)</x:f>
        <x:v>0.7431710565476191</x:v>
      </x:c>
      <x:c r="L411" t="str">
        <x:f>IF(K411="","Not Calculated",IF(K411&lt;0.8,"Below 80%",IF(K411&lt;1,"80%-99.99%",IF(K411&lt;1.1,"100%-109.99%",IF(K411&lt;1.75,"110%-174.99%","175%+ Review")))))</x:f>
        <x:v>Below 80%</x:v>
      </x:c>
      <x:c r="M411" s="56" t="str">
        <x:v>Ready for Commission Calculation</x:v>
      </x:c>
      <x:c r="N411" s="74" t="n">
        <x:f>IF(E411&lt;=0,0,MIN(G411,E411*0.8)*0.01+MAX(0,MIN(G411,E411)-E411*0.8)*0.02)</x:f>
        <x:v>998.8219</x:v>
      </x:c>
      <x:c r="O411" s="74" t="n">
        <x:f>IF(E411&lt;=0,0,MAX(0,MIN(G411,E411*1.1)-E411)*0.035+MAX(0,G411-E411*1.1)*0.05)</x:f>
        <x:v>0</x:v>
      </x:c>
      <x:c r="P411" s="74" t="n">
        <x:f>N411+O411</x:f>
        <x:v>998.8219</x:v>
      </x:c>
      <x:c r="Q411" s="76" t="n">
        <x:f>IF(G411&lt;=0,0,P411/G411)</x:f>
        <x:v>0.01</x:v>
      </x:c>
    </x:row>
    <x:row r="412">
      <x:c r="A412" s="56" t="str">
        <x:v>EMP035</x:v>
      </x:c>
      <x:c r="B412" s="56" t="str">
        <x:v>Cole Richardson</x:v>
      </x:c>
      <x:c r="C412" s="56" t="str">
        <x:v>Senior AE</x:v>
      </x:c>
      <x:c r="D412" s="56" t="str">
        <x:v>2026-03</x:v>
      </x:c>
      <x:c r="E412" s="72" t="n">
        <x:v>153600</x:v>
      </x:c>
      <x:c r="F412" s="72" t="n">
        <x:v>133352.59</x:v>
      </x:c>
      <x:c r="G412" s="72" t="n">
        <x:v>132137.37</x:v>
      </x:c>
      <x:c r="H412" s="72" t="n">
        <x:v>1215.22</x:v>
      </x:c>
      <x:c r="I412" s="56" t="n">
        <x:v>0</x:v>
      </x:c>
      <x:c r="J412" s="56" t="n">
        <x:v>0</x:v>
      </x:c>
      <x:c r="K412" s="68" t="n">
        <x:f>IF(E412&lt;=0,"",G412/E412)</x:f>
        <x:v>0.8602693359375</x:v>
      </x:c>
      <x:c r="L412" t="str">
        <x:f>IF(K412="","Not Calculated",IF(K412&lt;0.8,"Below 80%",IF(K412&lt;1,"80%-99.99%",IF(K412&lt;1.1,"100%-109.99%",IF(K412&lt;1.75,"110%-174.99%","175%+ Review")))))</x:f>
        <x:v>80%-99.99%</x:v>
      </x:c>
      <x:c r="M412" s="56" t="str">
        <x:v>Ready for Commission Calculation</x:v>
      </x:c>
      <x:c r="N412" s="74" t="n">
        <x:f>IF(E412&lt;=0,0,MIN(G412,E412*0.8)*0.01+MAX(0,MIN(G412,E412)-E412*0.8)*0.02)</x:f>
        <x:v>1413.9473999999998</x:v>
      </x:c>
      <x:c r="O412" s="74" t="n">
        <x:f>IF(E412&lt;=0,0,MAX(0,MIN(G412,E412*1.1)-E412)*0.035+MAX(0,G412-E412*1.1)*0.05)</x:f>
        <x:v>0</x:v>
      </x:c>
      <x:c r="P412" s="74" t="n">
        <x:f>N412+O412</x:f>
        <x:v>1413.9473999999998</x:v>
      </x:c>
      <x:c r="Q412" s="76" t="n">
        <x:f>IF(G412&lt;=0,0,P412/G412)</x:f>
        <x:v>0.010700586821124106</x:v>
      </x:c>
    </x:row>
    <x:row r="413">
      <x:c r="A413" s="56" t="str">
        <x:v>EMP035</x:v>
      </x:c>
      <x:c r="B413" s="56" t="str">
        <x:v>Cole Richardson</x:v>
      </x:c>
      <x:c r="C413" s="56" t="str">
        <x:v>Senior AE</x:v>
      </x:c>
      <x:c r="D413" s="56" t="str">
        <x:v>2026-04</x:v>
      </x:c>
      <x:c r="E413" s="72" t="n">
        <x:v>153600</x:v>
      </x:c>
      <x:c r="F413" s="72" t="n">
        <x:v>121650.62</x:v>
      </x:c>
      <x:c r="G413" s="72" t="n">
        <x:v>110001.73999999999</x:v>
      </x:c>
      <x:c r="H413" s="72" t="n">
        <x:v>11648.88</x:v>
      </x:c>
      <x:c r="I413" s="56" t="n">
        <x:v>0</x:v>
      </x:c>
      <x:c r="J413" s="56" t="n">
        <x:v>0</x:v>
      </x:c>
      <x:c r="K413" s="68" t="n">
        <x:f>IF(E413&lt;=0,"",G413/E413)</x:f>
        <x:v>0.7161571614583333</x:v>
      </x:c>
      <x:c r="L413" t="str">
        <x:f>IF(K413="","Not Calculated",IF(K413&lt;0.8,"Below 80%",IF(K413&lt;1,"80%-99.99%",IF(K413&lt;1.1,"100%-109.99%",IF(K413&lt;1.75,"110%-174.99%","175%+ Review")))))</x:f>
        <x:v>Below 80%</x:v>
      </x:c>
      <x:c r="M413" s="56" t="str">
        <x:v>Ready for Commission Calculation</x:v>
      </x:c>
      <x:c r="N413" s="74" t="n">
        <x:f>IF(E413&lt;=0,0,MIN(G413,E413*0.8)*0.01+MAX(0,MIN(G413,E413)-E413*0.8)*0.02)</x:f>
        <x:v>1100.0174</x:v>
      </x:c>
      <x:c r="O413" s="74" t="n">
        <x:f>IF(E413&lt;=0,0,MAX(0,MIN(G413,E413*1.1)-E413)*0.035+MAX(0,G413-E413*1.1)*0.05)</x:f>
        <x:v>0</x:v>
      </x:c>
      <x:c r="P413" s="74" t="n">
        <x:f>N413+O413</x:f>
        <x:v>1100.0174</x:v>
      </x:c>
      <x:c r="Q413" s="76" t="n">
        <x:f>IF(G413&lt;=0,0,P413/G413)</x:f>
        <x:v>0.01</x:v>
      </x:c>
    </x:row>
    <x:row r="414">
      <x:c r="A414" s="56" t="str">
        <x:v>EMP035</x:v>
      </x:c>
      <x:c r="B414" s="56" t="str">
        <x:v>Cole Richardson</x:v>
      </x:c>
      <x:c r="C414" s="56" t="str">
        <x:v>Senior AE</x:v>
      </x:c>
      <x:c r="D414" s="56" t="str">
        <x:v>2026-05</x:v>
      </x:c>
      <x:c r="E414" s="72" t="n">
        <x:v>153600</x:v>
      </x:c>
      <x:c r="F414" s="72" t="n">
        <x:v>125160.65</x:v>
      </x:c>
      <x:c r="G414" s="72" t="n">
        <x:v>124993.32</x:v>
      </x:c>
      <x:c r="H414" s="72" t="n">
        <x:v>167.33</x:v>
      </x:c>
      <x:c r="I414" s="56" t="n">
        <x:v>0</x:v>
      </x:c>
      <x:c r="J414" s="56" t="n">
        <x:v>0</x:v>
      </x:c>
      <x:c r="K414" s="68" t="n">
        <x:f>IF(E414&lt;=0,"",G414/E414)</x:f>
        <x:v>0.81375859375</x:v>
      </x:c>
      <x:c r="L414" t="str">
        <x:f>IF(K414="","Not Calculated",IF(K414&lt;0.8,"Below 80%",IF(K414&lt;1,"80%-99.99%",IF(K414&lt;1.1,"100%-109.99%",IF(K414&lt;1.75,"110%-174.99%","175%+ Review")))))</x:f>
        <x:v>80%-99.99%</x:v>
      </x:c>
      <x:c r="M414" s="56" t="str">
        <x:v>Ready for Commission Calculation</x:v>
      </x:c>
      <x:c r="N414" s="74" t="n">
        <x:f>IF(E414&lt;=0,0,MIN(G414,E414*0.8)*0.01+MAX(0,MIN(G414,E414)-E414*0.8)*0.02)</x:f>
        <x:v>1271.0664000000002</x:v>
      </x:c>
      <x:c r="O414" s="74" t="n">
        <x:f>IF(E414&lt;=0,0,MAX(0,MIN(G414,E414*1.1)-E414)*0.035+MAX(0,G414-E414*1.1)*0.05)</x:f>
        <x:v>0</x:v>
      </x:c>
      <x:c r="P414" s="74" t="n">
        <x:f>N414+O414</x:f>
        <x:v>1271.0664000000002</x:v>
      </x:c>
      <x:c r="Q414" s="76" t="n">
        <x:f>IF(G414&lt;=0,0,P414/G414)</x:f>
        <x:v>0.010169074635348514</x:v>
      </x:c>
    </x:row>
    <x:row r="415">
      <x:c r="A415" s="56" t="str">
        <x:v>EMP035</x:v>
      </x:c>
      <x:c r="B415" s="56" t="str">
        <x:v>Cole Richardson</x:v>
      </x:c>
      <x:c r="C415" s="56" t="str">
        <x:v>Senior AE</x:v>
      </x:c>
      <x:c r="D415" s="56" t="str">
        <x:v>2026-06</x:v>
      </x:c>
      <x:c r="E415" s="72" t="n">
        <x:v>172800</x:v>
      </x:c>
      <x:c r="F415" s="72" t="n">
        <x:v>118727.19000000002</x:v>
      </x:c>
      <x:c r="G415" s="72" t="n">
        <x:v>117220.19000000002</x:v>
      </x:c>
      <x:c r="H415" s="72" t="n">
        <x:v>1507</x:v>
      </x:c>
      <x:c r="I415" s="56" t="n">
        <x:v>0</x:v>
      </x:c>
      <x:c r="J415" s="56" t="n">
        <x:v>0</x:v>
      </x:c>
      <x:c r="K415" s="68" t="n">
        <x:f>IF(E415&lt;=0,"",G415/E415)</x:f>
        <x:v>0.6783575810185186</x:v>
      </x:c>
      <x:c r="L415" t="str">
        <x:f>IF(K415="","Not Calculated",IF(K415&lt;0.8,"Below 80%",IF(K415&lt;1,"80%-99.99%",IF(K415&lt;1.1,"100%-109.99%",IF(K415&lt;1.75,"110%-174.99%","175%+ Review")))))</x:f>
        <x:v>Below 80%</x:v>
      </x:c>
      <x:c r="M415" s="56" t="str">
        <x:v>Ready for Commission Calculation</x:v>
      </x:c>
      <x:c r="N415" s="74" t="n">
        <x:f>IF(E415&lt;=0,0,MIN(G415,E415*0.8)*0.01+MAX(0,MIN(G415,E415)-E415*0.8)*0.02)</x:f>
        <x:v>1172.2019000000003</x:v>
      </x:c>
      <x:c r="O415" s="74" t="n">
        <x:f>IF(E415&lt;=0,0,MAX(0,MIN(G415,E415*1.1)-E415)*0.035+MAX(0,G415-E415*1.1)*0.05)</x:f>
        <x:v>0</x:v>
      </x:c>
      <x:c r="P415" s="74" t="n">
        <x:f>N415+O415</x:f>
        <x:v>1172.2019000000003</x:v>
      </x:c>
      <x:c r="Q415" s="76" t="n">
        <x:f>IF(G415&lt;=0,0,P415/G415)</x:f>
        <x:v>0.01</x:v>
      </x:c>
    </x:row>
    <x:row r="416">
      <x:c r="A416" s="56" t="str">
        <x:v>EMP035</x:v>
      </x:c>
      <x:c r="B416" s="56" t="str">
        <x:v>Cole Richardson</x:v>
      </x:c>
      <x:c r="C416" s="56" t="str">
        <x:v>Senior AE</x:v>
      </x:c>
      <x:c r="D416" s="56" t="str">
        <x:v>2026-07</x:v>
      </x:c>
      <x:c r="E416" s="72" t="n">
        <x:v>134400</x:v>
      </x:c>
      <x:c r="F416" s="72" t="n">
        <x:v>104269.83000000002</x:v>
      </x:c>
      <x:c r="G416" s="72" t="n">
        <x:v>104269.83000000002</x:v>
      </x:c>
      <x:c r="H416" s="72" t="n">
        <x:v>0</x:v>
      </x:c>
      <x:c r="I416" s="56" t="n">
        <x:v>0</x:v>
      </x:c>
      <x:c r="J416" s="56" t="n">
        <x:v>0</x:v>
      </x:c>
      <x:c r="K416" s="68" t="n">
        <x:f>IF(E416&lt;=0,"",G416/E416)</x:f>
        <x:v>0.7758171875000002</x:v>
      </x:c>
      <x:c r="L416" t="str">
        <x:f>IF(K416="","Not Calculated",IF(K416&lt;0.8,"Below 80%",IF(K416&lt;1,"80%-99.99%",IF(K416&lt;1.1,"100%-109.99%",IF(K416&lt;1.75,"110%-174.99%","175%+ Review")))))</x:f>
        <x:v>Below 80%</x:v>
      </x:c>
      <x:c r="M416" s="56" t="str">
        <x:v>Ready for Commission Calculation</x:v>
      </x:c>
      <x:c r="N416" s="74" t="n">
        <x:f>IF(E416&lt;=0,0,MIN(G416,E416*0.8)*0.01+MAX(0,MIN(G416,E416)-E416*0.8)*0.02)</x:f>
        <x:v>1042.6983000000002</x:v>
      </x:c>
      <x:c r="O416" s="74" t="n">
        <x:f>IF(E416&lt;=0,0,MAX(0,MIN(G416,E416*1.1)-E416)*0.035+MAX(0,G416-E416*1.1)*0.05)</x:f>
        <x:v>0</x:v>
      </x:c>
      <x:c r="P416" s="74" t="n">
        <x:f>N416+O416</x:f>
        <x:v>1042.6983000000002</x:v>
      </x:c>
      <x:c r="Q416" s="76" t="n">
        <x:f>IF(G416&lt;=0,0,P416/G416)</x:f>
        <x:v>0.01</x:v>
      </x:c>
    </x:row>
    <x:row r="417">
      <x:c r="A417" s="56" t="str">
        <x:v>EMP035</x:v>
      </x:c>
      <x:c r="B417" s="56" t="str">
        <x:v>Cole Richardson</x:v>
      </x:c>
      <x:c r="C417" s="56" t="str">
        <x:v>Senior AE</x:v>
      </x:c>
      <x:c r="D417" s="56" t="str">
        <x:v>2026-08</x:v>
      </x:c>
      <x:c r="E417" s="72" t="n">
        <x:v>134400</x:v>
      </x:c>
      <x:c r="F417" s="72" t="n">
        <x:v>102176.8</x:v>
      </x:c>
      <x:c r="G417" s="72" t="n">
        <x:v>102176.8</x:v>
      </x:c>
      <x:c r="H417" s="72" t="n">
        <x:v>0</x:v>
      </x:c>
      <x:c r="I417" s="56" t="n">
        <x:v>0</x:v>
      </x:c>
      <x:c r="J417" s="56" t="n">
        <x:v>0</x:v>
      </x:c>
      <x:c r="K417" s="68" t="n">
        <x:f>IF(E417&lt;=0,"",G417/E417)</x:f>
        <x:v>0.7602440476190476</x:v>
      </x:c>
      <x:c r="L417" t="str">
        <x:f>IF(K417="","Not Calculated",IF(K417&lt;0.8,"Below 80%",IF(K417&lt;1,"80%-99.99%",IF(K417&lt;1.1,"100%-109.99%",IF(K417&lt;1.75,"110%-174.99%","175%+ Review")))))</x:f>
        <x:v>Below 80%</x:v>
      </x:c>
      <x:c r="M417" s="56" t="str">
        <x:v>Ready for Commission Calculation</x:v>
      </x:c>
      <x:c r="N417" s="74" t="n">
        <x:f>IF(E417&lt;=0,0,MIN(G417,E417*0.8)*0.01+MAX(0,MIN(G417,E417)-E417*0.8)*0.02)</x:f>
        <x:v>1021.768</x:v>
      </x:c>
      <x:c r="O417" s="74" t="n">
        <x:f>IF(E417&lt;=0,0,MAX(0,MIN(G417,E417*1.1)-E417)*0.035+MAX(0,G417-E417*1.1)*0.05)</x:f>
        <x:v>0</x:v>
      </x:c>
      <x:c r="P417" s="74" t="n">
        <x:f>N417+O417</x:f>
        <x:v>1021.768</x:v>
      </x:c>
      <x:c r="Q417" s="76" t="n">
        <x:f>IF(G417&lt;=0,0,P417/G417)</x:f>
        <x:v>0.01</x:v>
      </x:c>
    </x:row>
    <x:row r="418">
      <x:c r="A418" s="56" t="str">
        <x:v>EMP035</x:v>
      </x:c>
      <x:c r="B418" s="56" t="str">
        <x:v>Cole Richardson</x:v>
      </x:c>
      <x:c r="C418" s="56" t="str">
        <x:v>Senior AE</x:v>
      </x:c>
      <x:c r="D418" s="56" t="str">
        <x:v>2026-09</x:v>
      </x:c>
      <x:c r="E418" s="72" t="n">
        <x:v>192000</x:v>
      </x:c>
      <x:c r="F418" s="72" t="n">
        <x:v>191819.90000000002</x:v>
      </x:c>
      <x:c r="G418" s="72" t="n">
        <x:v>191819.90000000002</x:v>
      </x:c>
      <x:c r="H418" s="72" t="n">
        <x:v>0</x:v>
      </x:c>
      <x:c r="I418" s="56" t="n">
        <x:v>0</x:v>
      </x:c>
      <x:c r="J418" s="56" t="n">
        <x:v>0</x:v>
      </x:c>
      <x:c r="K418" s="68" t="n">
        <x:f>IF(E418&lt;=0,"",G418/E418)</x:f>
        <x:v>0.9990619791666668</x:v>
      </x:c>
      <x:c r="L418" t="str">
        <x:f>IF(K418="","Not Calculated",IF(K418&lt;0.8,"Below 80%",IF(K418&lt;1,"80%-99.99%",IF(K418&lt;1.1,"100%-109.99%",IF(K418&lt;1.75,"110%-174.99%","175%+ Review")))))</x:f>
        <x:v>80%-99.99%</x:v>
      </x:c>
      <x:c r="M418" s="56" t="str">
        <x:v>Ready for Commission Calculation</x:v>
      </x:c>
      <x:c r="N418" s="74" t="n">
        <x:f>IF(E418&lt;=0,0,MIN(G418,E418*0.8)*0.01+MAX(0,MIN(G418,E418)-E418*0.8)*0.02)</x:f>
        <x:v>2300.3980000000006</x:v>
      </x:c>
      <x:c r="O418" s="74" t="n">
        <x:f>IF(E418&lt;=0,0,MAX(0,MIN(G418,E418*1.1)-E418)*0.035+MAX(0,G418-E418*1.1)*0.05)</x:f>
        <x:v>0</x:v>
      </x:c>
      <x:c r="P418" s="74" t="n">
        <x:f>N418+O418</x:f>
        <x:v>2300.3980000000006</x:v>
      </x:c>
      <x:c r="Q418" s="76" t="n">
        <x:f>IF(G418&lt;=0,0,P418/G418)</x:f>
        <x:v>0.011992488787659676</x:v>
      </x:c>
    </x:row>
    <x:row r="419">
      <x:c r="A419" s="56" t="str">
        <x:v>EMP035</x:v>
      </x:c>
      <x:c r="B419" s="56" t="str">
        <x:v>Cole Richardson</x:v>
      </x:c>
      <x:c r="C419" s="56" t="str">
        <x:v>Senior AE</x:v>
      </x:c>
      <x:c r="D419" s="56" t="str">
        <x:v>2026-10</x:v>
      </x:c>
      <x:c r="E419" s="72" t="n">
        <x:v>192000</x:v>
      </x:c>
      <x:c r="F419" s="72" t="n">
        <x:v>173244.41</x:v>
      </x:c>
      <x:c r="G419" s="72" t="n">
        <x:v>173244.41</x:v>
      </x:c>
      <x:c r="H419" s="72" t="n">
        <x:v>0</x:v>
      </x:c>
      <x:c r="I419" s="56" t="n">
        <x:v>0</x:v>
      </x:c>
      <x:c r="J419" s="56" t="n">
        <x:v>0</x:v>
      </x:c>
      <x:c r="K419" s="68" t="n">
        <x:f>IF(E419&lt;=0,"",G419/E419)</x:f>
        <x:v>0.9023146354166667</x:v>
      </x:c>
      <x:c r="L419" t="str">
        <x:f>IF(K419="","Not Calculated",IF(K419&lt;0.8,"Below 80%",IF(K419&lt;1,"80%-99.99%",IF(K419&lt;1.1,"100%-109.99%",IF(K419&lt;1.75,"110%-174.99%","175%+ Review")))))</x:f>
        <x:v>80%-99.99%</x:v>
      </x:c>
      <x:c r="M419" s="56" t="str">
        <x:v>Ready for Commission Calculation</x:v>
      </x:c>
      <x:c r="N419" s="74" t="n">
        <x:f>IF(E419&lt;=0,0,MIN(G419,E419*0.8)*0.01+MAX(0,MIN(G419,E419)-E419*0.8)*0.02)</x:f>
        <x:v>1928.8882</x:v>
      </x:c>
      <x:c r="O419" s="74" t="n">
        <x:f>IF(E419&lt;=0,0,MAX(0,MIN(G419,E419*1.1)-E419)*0.035+MAX(0,G419-E419*1.1)*0.05)</x:f>
        <x:v>0</x:v>
      </x:c>
      <x:c r="P419" s="74" t="n">
        <x:f>N419+O419</x:f>
        <x:v>1928.8882</x:v>
      </x:c>
      <x:c r="Q419" s="76" t="n">
        <x:f>IF(G419&lt;=0,0,P419/G419)</x:f>
        <x:v>0.011133913065362398</x:v>
      </x:c>
    </x:row>
    <x:row r="420">
      <x:c r="A420" s="56" t="str">
        <x:v>EMP035</x:v>
      </x:c>
      <x:c r="B420" s="56" t="str">
        <x:v>Cole Richardson</x:v>
      </x:c>
      <x:c r="C420" s="56" t="str">
        <x:v>Senior AE</x:v>
      </x:c>
      <x:c r="D420" s="56" t="str">
        <x:v>2026-11</x:v>
      </x:c>
      <x:c r="E420" s="72" t="n">
        <x:v>172800</x:v>
      </x:c>
      <x:c r="F420" s="72" t="n">
        <x:v>141956.15000000002</x:v>
      </x:c>
      <x:c r="G420" s="72" t="n">
        <x:v>141956.15000000002</x:v>
      </x:c>
      <x:c r="H420" s="72" t="n">
        <x:v>0</x:v>
      </x:c>
      <x:c r="I420" s="56" t="n">
        <x:v>0</x:v>
      </x:c>
      <x:c r="J420" s="56" t="n">
        <x:v>0</x:v>
      </x:c>
      <x:c r="K420" s="68" t="n">
        <x:f>IF(E420&lt;=0,"",G420/E420)</x:f>
        <x:v>0.8215054976851853</x:v>
      </x:c>
      <x:c r="L420" t="str">
        <x:f>IF(K420="","Not Calculated",IF(K420&lt;0.8,"Below 80%",IF(K420&lt;1,"80%-99.99%",IF(K420&lt;1.1,"100%-109.99%",IF(K420&lt;1.75,"110%-174.99%","175%+ Review")))))</x:f>
        <x:v>80%-99.99%</x:v>
      </x:c>
      <x:c r="M420" s="56" t="str">
        <x:v>Ready for Commission Calculation</x:v>
      </x:c>
      <x:c r="N420" s="74" t="n">
        <x:f>IF(E420&lt;=0,0,MIN(G420,E420*0.8)*0.01+MAX(0,MIN(G420,E420)-E420*0.8)*0.02)</x:f>
        <x:v>1456.7230000000006</x:v>
      </x:c>
      <x:c r="O420" s="74" t="n">
        <x:f>IF(E420&lt;=0,0,MAX(0,MIN(G420,E420*1.1)-E420)*0.035+MAX(0,G420-E420*1.1)*0.05)</x:f>
        <x:v>0</x:v>
      </x:c>
      <x:c r="P420" s="74" t="n">
        <x:f>N420+O420</x:f>
        <x:v>1456.7230000000006</x:v>
      </x:c>
      <x:c r="Q420" s="76" t="n">
        <x:f>IF(G420&lt;=0,0,P420/G420)</x:f>
        <x:v>0.010261781543103279</x:v>
      </x:c>
    </x:row>
    <x:row r="421">
      <x:c r="A421" s="56" t="str">
        <x:v>EMP035</x:v>
      </x:c>
      <x:c r="B421" s="56" t="str">
        <x:v>Cole Richardson</x:v>
      </x:c>
      <x:c r="C421" s="56" t="str">
        <x:v>Senior AE</x:v>
      </x:c>
      <x:c r="D421" s="56" t="str">
        <x:v>2026-12</x:v>
      </x:c>
      <x:c r="E421" s="72" t="n">
        <x:v>192000</x:v>
      </x:c>
      <x:c r="F421" s="72" t="n">
        <x:v>180518.19000000003</x:v>
      </x:c>
      <x:c r="G421" s="72" t="n">
        <x:v>180307.37000000002</x:v>
      </x:c>
      <x:c r="H421" s="72" t="n">
        <x:v>210.82</x:v>
      </x:c>
      <x:c r="I421" s="56" t="n">
        <x:v>0</x:v>
      </x:c>
      <x:c r="J421" s="56" t="n">
        <x:v>0</x:v>
      </x:c>
      <x:c r="K421" s="68" t="n">
        <x:f>IF(E421&lt;=0,"",G421/E421)</x:f>
        <x:v>0.9391008854166668</x:v>
      </x:c>
      <x:c r="L421" t="str">
        <x:f>IF(K421="","Not Calculated",IF(K421&lt;0.8,"Below 80%",IF(K421&lt;1,"80%-99.99%",IF(K421&lt;1.1,"100%-109.99%",IF(K421&lt;1.75,"110%-174.99%","175%+ Review")))))</x:f>
        <x:v>80%-99.99%</x:v>
      </x:c>
      <x:c r="M421" s="56" t="str">
        <x:v>Ready for Commission Calculation</x:v>
      </x:c>
      <x:c r="N421" s="74" t="n">
        <x:f>IF(E421&lt;=0,0,MIN(G421,E421*0.8)*0.01+MAX(0,MIN(G421,E421)-E421*0.8)*0.02)</x:f>
        <x:v>2070.1474000000007</x:v>
      </x:c>
      <x:c r="O421" s="74" t="n">
        <x:f>IF(E421&lt;=0,0,MAX(0,MIN(G421,E421*1.1)-E421)*0.035+MAX(0,G421-E421*1.1)*0.05)</x:f>
        <x:v>0</x:v>
      </x:c>
      <x:c r="P421" s="74" t="n">
        <x:f>N421+O421</x:f>
        <x:v>2070.1474000000007</x:v>
      </x:c>
      <x:c r="Q421" s="76" t="n">
        <x:f>IF(G421&lt;=0,0,P421/G421)</x:f>
        <x:v>0.011481213441247579</x:v>
      </x:c>
    </x:row>
    <x:row r="422">
      <x:c r="A422" s="56" t="str">
        <x:v>EMP036</x:v>
      </x:c>
      <x:c r="B422" s="56" t="str">
        <x:v>Jasmine Sidhu</x:v>
      </x:c>
      <x:c r="C422" s="56" t="str">
        <x:v>Senior AE</x:v>
      </x:c>
      <x:c r="D422" s="56" t="str">
        <x:v>2026-01</x:v>
      </x:c>
      <x:c r="E422" s="72" t="n">
        <x:v>120400.00000000001</x:v>
      </x:c>
      <x:c r="F422" s="72" t="n">
        <x:v>130244.70000000001</x:v>
      </x:c>
      <x:c r="G422" s="72" t="n">
        <x:v>130244.70000000001</x:v>
      </x:c>
      <x:c r="H422" s="72" t="n">
        <x:v>0</x:v>
      </x:c>
      <x:c r="I422" s="56" t="n">
        <x:v>0</x:v>
      </x:c>
      <x:c r="J422" s="56" t="n">
        <x:v>0</x:v>
      </x:c>
      <x:c r="K422" s="68" t="n">
        <x:f>IF(E422&lt;=0,"",G422/E422)</x:f>
        <x:v>1.081766611295681</x:v>
      </x:c>
      <x:c r="L422" t="str">
        <x:f>IF(K422="","Not Calculated",IF(K422&lt;0.8,"Below 80%",IF(K422&lt;1,"80%-99.99%",IF(K422&lt;1.1,"100%-109.99%",IF(K422&lt;1.75,"110%-174.99%","175%+ Review")))))</x:f>
        <x:v>100%-109.99%</x:v>
      </x:c>
      <x:c r="M422" s="56" t="str">
        <x:v>Ready for Commission Calculation</x:v>
      </x:c>
      <x:c r="N422" s="74" t="n">
        <x:f>IF(E422&lt;=0,0,MIN(G422,E422*0.8)*0.01+MAX(0,MIN(G422,E422)-E422*0.8)*0.02)</x:f>
        <x:v>1444.8000000000002</x:v>
      </x:c>
      <x:c r="O422" s="74" t="n">
        <x:f>IF(E422&lt;=0,0,MAX(0,MIN(G422,E422*1.1)-E422)*0.035+MAX(0,G422-E422*1.1)*0.05)</x:f>
        <x:v>344.56449999999995</x:v>
      </x:c>
      <x:c r="P422" s="74" t="n">
        <x:f>N422+O422</x:f>
        <x:v>1789.3645000000001</x:v>
      </x:c>
      <x:c r="Q422" s="76" t="n">
        <x:f>IF(G422&lt;=0,0,P422/G422)</x:f>
        <x:v>0.013738482256859587</x:v>
      </x:c>
    </x:row>
    <x:row r="423">
      <x:c r="A423" s="56" t="str">
        <x:v>EMP036</x:v>
      </x:c>
      <x:c r="B423" s="56" t="str">
        <x:v>Jasmine Sidhu</x:v>
      </x:c>
      <x:c r="C423" s="56" t="str">
        <x:v>Senior AE</x:v>
      </x:c>
      <x:c r="D423" s="56" t="str">
        <x:v>2026-02</x:v>
      </x:c>
      <x:c r="E423" s="72" t="n">
        <x:v>120400.00000000001</x:v>
      </x:c>
      <x:c r="F423" s="72" t="n">
        <x:v>141548.78</x:v>
      </x:c>
      <x:c r="G423" s="72" t="n">
        <x:v>141548.78</x:v>
      </x:c>
      <x:c r="H423" s="72" t="n">
        <x:v>0</x:v>
      </x:c>
      <x:c r="I423" s="56" t="n">
        <x:v>0</x:v>
      </x:c>
      <x:c r="J423" s="56" t="n">
        <x:v>0</x:v>
      </x:c>
      <x:c r="K423" s="68" t="n">
        <x:f>IF(E423&lt;=0,"",G423/E423)</x:f>
        <x:v>1.1756543189368769</x:v>
      </x:c>
      <x:c r="L423" t="str">
        <x:f>IF(K423="","Not Calculated",IF(K423&lt;0.8,"Below 80%",IF(K423&lt;1,"80%-99.99%",IF(K423&lt;1.1,"100%-109.99%",IF(K423&lt;1.75,"110%-174.99%","175%+ Review")))))</x:f>
        <x:v>110%-174.99%</x:v>
      </x:c>
      <x:c r="M423" s="56" t="str">
        <x:v>Ready for Commission Calculation</x:v>
      </x:c>
      <x:c r="N423" s="74" t="n">
        <x:f>IF(E423&lt;=0,0,MIN(G423,E423*0.8)*0.01+MAX(0,MIN(G423,E423)-E423*0.8)*0.02)</x:f>
        <x:v>1444.8000000000002</x:v>
      </x:c>
      <x:c r="O423" s="74" t="n">
        <x:f>IF(E423&lt;=0,0,MAX(0,MIN(G423,E423*1.1)-E423)*0.035+MAX(0,G423-E423*1.1)*0.05)</x:f>
        <x:v>876.838999999999</x:v>
      </x:c>
      <x:c r="P423" s="74" t="n">
        <x:f>N423+O423</x:f>
        <x:v>2321.638999999999</x:v>
      </x:c>
      <x:c r="Q423" s="76" t="n">
        <x:f>IF(G423&lt;=0,0,P423/G423)</x:f>
        <x:v>0.016401688520381447</x:v>
      </x:c>
    </x:row>
    <x:row r="424">
      <x:c r="A424" s="56" t="str">
        <x:v>EMP036</x:v>
      </x:c>
      <x:c r="B424" s="56" t="str">
        <x:v>Jasmine Sidhu</x:v>
      </x:c>
      <x:c r="C424" s="56" t="str">
        <x:v>Senior AE</x:v>
      </x:c>
      <x:c r="D424" s="56" t="str">
        <x:v>2026-03</x:v>
      </x:c>
      <x:c r="E424" s="72" t="n">
        <x:v>137600</x:v>
      </x:c>
      <x:c r="F424" s="72" t="n">
        <x:v>140014.8</x:v>
      </x:c>
      <x:c r="G424" s="72" t="n">
        <x:v>138057.84999999998</x:v>
      </x:c>
      <x:c r="H424" s="72" t="n">
        <x:v>1956.95</x:v>
      </x:c>
      <x:c r="I424" s="56" t="n">
        <x:v>0</x:v>
      </x:c>
      <x:c r="J424" s="56" t="n">
        <x:v>0</x:v>
      </x:c>
      <x:c r="K424" s="68" t="n">
        <x:f>IF(E424&lt;=0,"",G424/E424)</x:f>
        <x:v>1.0033273982558137</x:v>
      </x:c>
      <x:c r="L424" t="str">
        <x:f>IF(K424="","Not Calculated",IF(K424&lt;0.8,"Below 80%",IF(K424&lt;1,"80%-99.99%",IF(K424&lt;1.1,"100%-109.99%",IF(K424&lt;1.75,"110%-174.99%","175%+ Review")))))</x:f>
        <x:v>100%-109.99%</x:v>
      </x:c>
      <x:c r="M424" s="56" t="str">
        <x:v>Ready for Commission Calculation</x:v>
      </x:c>
      <x:c r="N424" s="74" t="n">
        <x:f>IF(E424&lt;=0,0,MIN(G424,E424*0.8)*0.01+MAX(0,MIN(G424,E424)-E424*0.8)*0.02)</x:f>
        <x:v>1651.1999999999998</x:v>
      </x:c>
      <x:c r="O424" s="74" t="n">
        <x:f>IF(E424&lt;=0,0,MAX(0,MIN(G424,E424*1.1)-E424)*0.035+MAX(0,G424-E424*1.1)*0.05)</x:f>
        <x:v>16.024749999999187</x:v>
      </x:c>
      <x:c r="P424" s="74" t="n">
        <x:f>N424+O424</x:f>
        <x:v>1667.224749999999</x:v>
      </x:c>
      <x:c r="Q424" s="76" t="n">
        <x:f>IF(G424&lt;=0,0,P424/G424)</x:f>
        <x:v>0.012076276358062937</x:v>
      </x:c>
    </x:row>
    <x:row r="425">
      <x:c r="A425" s="56" t="str">
        <x:v>EMP036</x:v>
      </x:c>
      <x:c r="B425" s="56" t="str">
        <x:v>Jasmine Sidhu</x:v>
      </x:c>
      <x:c r="C425" s="56" t="str">
        <x:v>Senior AE</x:v>
      </x:c>
      <x:c r="D425" s="56" t="str">
        <x:v>2026-04</x:v>
      </x:c>
      <x:c r="E425" s="72" t="n">
        <x:v>137600</x:v>
      </x:c>
      <x:c r="F425" s="72" t="n">
        <x:v>179816.29000000004</x:v>
      </x:c>
      <x:c r="G425" s="72" t="n">
        <x:v>179816.29000000004</x:v>
      </x:c>
      <x:c r="H425" s="72" t="n">
        <x:v>0</x:v>
      </x:c>
      <x:c r="I425" s="56" t="n">
        <x:v>0</x:v>
      </x:c>
      <x:c r="J425" s="56" t="n">
        <x:v>0</x:v>
      </x:c>
      <x:c r="K425" s="68" t="n">
        <x:f>IF(E425&lt;=0,"",G425/E425)</x:f>
        <x:v>1.3068044331395352</x:v>
      </x:c>
      <x:c r="L425" t="str">
        <x:f>IF(K425="","Not Calculated",IF(K425&lt;0.8,"Below 80%",IF(K425&lt;1,"80%-99.99%",IF(K425&lt;1.1,"100%-109.99%",IF(K425&lt;1.75,"110%-174.99%","175%+ Review")))))</x:f>
        <x:v>110%-174.99%</x:v>
      </x:c>
      <x:c r="M425" s="56" t="str">
        <x:v>Ready for Commission Calculation</x:v>
      </x:c>
      <x:c r="N425" s="74" t="n">
        <x:f>IF(E425&lt;=0,0,MIN(G425,E425*0.8)*0.01+MAX(0,MIN(G425,E425)-E425*0.8)*0.02)</x:f>
        <x:v>1651.1999999999998</x:v>
      </x:c>
      <x:c r="O425" s="74" t="n">
        <x:f>IF(E425&lt;=0,0,MAX(0,MIN(G425,E425*1.1)-E425)*0.035+MAX(0,G425-E425*1.1)*0.05)</x:f>
        <x:v>1904.4145000000021</x:v>
      </x:c>
      <x:c r="P425" s="74" t="n">
        <x:f>N425+O425</x:f>
        <x:v>3555.614500000002</x:v>
      </x:c>
      <x:c r="Q425" s="76" t="n">
        <x:f>IF(G425&lt;=0,0,P425/G425)</x:f>
        <x:v>0.019773595039693018</x:v>
      </x:c>
    </x:row>
    <x:row r="426">
      <x:c r="A426" s="56" t="str">
        <x:v>EMP036</x:v>
      </x:c>
      <x:c r="B426" s="56" t="str">
        <x:v>Jasmine Sidhu</x:v>
      </x:c>
      <x:c r="C426" s="56" t="str">
        <x:v>Senior AE</x:v>
      </x:c>
      <x:c r="D426" s="56" t="str">
        <x:v>2026-05</x:v>
      </x:c>
      <x:c r="E426" s="72" t="n">
        <x:v>137600</x:v>
      </x:c>
      <x:c r="F426" s="72" t="n">
        <x:v>165022.98000000004</x:v>
      </x:c>
      <x:c r="G426" s="72" t="n">
        <x:v>164011.68000000002</x:v>
      </x:c>
      <x:c r="H426" s="72" t="n">
        <x:v>1011.3</x:v>
      </x:c>
      <x:c r="I426" s="56" t="n">
        <x:v>0</x:v>
      </x:c>
      <x:c r="J426" s="56" t="n">
        <x:v>0</x:v>
      </x:c>
      <x:c r="K426" s="68" t="n">
        <x:f>IF(E426&lt;=0,"",G426/E426)</x:f>
        <x:v>1.1919453488372094</x:v>
      </x:c>
      <x:c r="L426" t="str">
        <x:f>IF(K426="","Not Calculated",IF(K426&lt;0.8,"Below 80%",IF(K426&lt;1,"80%-99.99%",IF(K426&lt;1.1,"100%-109.99%",IF(K426&lt;1.75,"110%-174.99%","175%+ Review")))))</x:f>
        <x:v>110%-174.99%</x:v>
      </x:c>
      <x:c r="M426" s="56" t="str">
        <x:v>Ready for Commission Calculation</x:v>
      </x:c>
      <x:c r="N426" s="74" t="n">
        <x:f>IF(E426&lt;=0,0,MIN(G426,E426*0.8)*0.01+MAX(0,MIN(G426,E426)-E426*0.8)*0.02)</x:f>
        <x:v>1651.1999999999998</x:v>
      </x:c>
      <x:c r="O426" s="74" t="n">
        <x:f>IF(E426&lt;=0,0,MAX(0,MIN(G426,E426*1.1)-E426)*0.035+MAX(0,G426-E426*1.1)*0.05)</x:f>
        <x:v>1114.184000000001</x:v>
      </x:c>
      <x:c r="P426" s="74" t="n">
        <x:f>N426+O426</x:f>
        <x:v>2765.384000000001</x:v>
      </x:c>
      <x:c r="Q426" s="76" t="n">
        <x:f>IF(G426&lt;=0,0,P426/G426)</x:f>
        <x:v>0.016860896736134893</x:v>
      </x:c>
    </x:row>
    <x:row r="427">
      <x:c r="A427" s="56" t="str">
        <x:v>EMP036</x:v>
      </x:c>
      <x:c r="B427" s="56" t="str">
        <x:v>Jasmine Sidhu</x:v>
      </x:c>
      <x:c r="C427" s="56" t="str">
        <x:v>Senior AE</x:v>
      </x:c>
      <x:c r="D427" s="56" t="str">
        <x:v>2026-06</x:v>
      </x:c>
      <x:c r="E427" s="72" t="n">
        <x:v>154800</x:v>
      </x:c>
      <x:c r="F427" s="72" t="n">
        <x:v>196486.74000000002</x:v>
      </x:c>
      <x:c r="G427" s="72" t="n">
        <x:v>196486.74000000002</x:v>
      </x:c>
      <x:c r="H427" s="72" t="n">
        <x:v>0</x:v>
      </x:c>
      <x:c r="I427" s="56" t="n">
        <x:v>0</x:v>
      </x:c>
      <x:c r="J427" s="56" t="n">
        <x:v>0</x:v>
      </x:c>
      <x:c r="K427" s="68" t="n">
        <x:f>IF(E427&lt;=0,"",G427/E427)</x:f>
        <x:v>1.2692941860465117</x:v>
      </x:c>
      <x:c r="L427" t="str">
        <x:f>IF(K427="","Not Calculated",IF(K427&lt;0.8,"Below 80%",IF(K427&lt;1,"80%-99.99%",IF(K427&lt;1.1,"100%-109.99%",IF(K427&lt;1.75,"110%-174.99%","175%+ Review")))))</x:f>
        <x:v>110%-174.99%</x:v>
      </x:c>
      <x:c r="M427" s="56" t="str">
        <x:v>Ready for Commission Calculation</x:v>
      </x:c>
      <x:c r="N427" s="74" t="n">
        <x:f>IF(E427&lt;=0,0,MIN(G427,E427*0.8)*0.01+MAX(0,MIN(G427,E427)-E427*0.8)*0.02)</x:f>
        <x:v>1857.6000000000001</x:v>
      </x:c>
      <x:c r="O427" s="74" t="n">
        <x:f>IF(E427&lt;=0,0,MAX(0,MIN(G427,E427*1.1)-E427)*0.035+MAX(0,G427-E427*1.1)*0.05)</x:f>
        <x:v>1852.137000000001</x:v>
      </x:c>
      <x:c r="P427" s="74" t="n">
        <x:f>N427+O427</x:f>
        <x:v>3709.737000000001</x:v>
      </x:c>
      <x:c r="Q427" s="76" t="n">
        <x:f>IF(G427&lt;=0,0,P427/G427)</x:f>
        <x:v>0.01888034276511484</x:v>
      </x:c>
    </x:row>
    <x:row r="428">
      <x:c r="A428" s="56" t="str">
        <x:v>EMP036</x:v>
      </x:c>
      <x:c r="B428" s="56" t="str">
        <x:v>Jasmine Sidhu</x:v>
      </x:c>
      <x:c r="C428" s="56" t="str">
        <x:v>Senior AE</x:v>
      </x:c>
      <x:c r="D428" s="56" t="str">
        <x:v>2026-07</x:v>
      </x:c>
      <x:c r="E428" s="72" t="n">
        <x:v>120400.00000000001</x:v>
      </x:c>
      <x:c r="F428" s="72" t="n">
        <x:v>148689.99999999997</x:v>
      </x:c>
      <x:c r="G428" s="72" t="n">
        <x:v>146378.24999999997</x:v>
      </x:c>
      <x:c r="H428" s="72" t="n">
        <x:v>2311.75</x:v>
      </x:c>
      <x:c r="I428" s="56" t="n">
        <x:v>0</x:v>
      </x:c>
      <x:c r="J428" s="56" t="n">
        <x:v>0</x:v>
      </x:c>
      <x:c r="K428" s="68" t="n">
        <x:f>IF(E428&lt;=0,"",G428/E428)</x:f>
        <x:v>1.2157661960132886</x:v>
      </x:c>
      <x:c r="L428" t="str">
        <x:f>IF(K428="","Not Calculated",IF(K428&lt;0.8,"Below 80%",IF(K428&lt;1,"80%-99.99%",IF(K428&lt;1.1,"100%-109.99%",IF(K428&lt;1.75,"110%-174.99%","175%+ Review")))))</x:f>
        <x:v>110%-174.99%</x:v>
      </x:c>
      <x:c r="M428" s="56" t="str">
        <x:v>Ready for Commission Calculation</x:v>
      </x:c>
      <x:c r="N428" s="74" t="n">
        <x:f>IF(E428&lt;=0,0,MIN(G428,E428*0.8)*0.01+MAX(0,MIN(G428,E428)-E428*0.8)*0.02)</x:f>
        <x:v>1444.8000000000002</x:v>
      </x:c>
      <x:c r="O428" s="74" t="n">
        <x:f>IF(E428&lt;=0,0,MAX(0,MIN(G428,E428*1.1)-E428)*0.035+MAX(0,G428-E428*1.1)*0.05)</x:f>
        <x:v>1118.3124999999977</x:v>
      </x:c>
      <x:c r="P428" s="74" t="n">
        <x:f>N428+O428</x:f>
        <x:v>2563.112499999998</x:v>
      </x:c>
      <x:c r="Q428" s="76" t="n">
        <x:f>IF(G428&lt;=0,0,P428/G428)</x:f>
        <x:v>0.01751020045669352</x:v>
      </x:c>
    </x:row>
    <x:row r="429">
      <x:c r="A429" s="56" t="str">
        <x:v>EMP036</x:v>
      </x:c>
      <x:c r="B429" s="56" t="str">
        <x:v>Jasmine Sidhu</x:v>
      </x:c>
      <x:c r="C429" s="56" t="str">
        <x:v>Senior AE</x:v>
      </x:c>
      <x:c r="D429" s="56" t="str">
        <x:v>2026-08</x:v>
      </x:c>
      <x:c r="E429" s="72" t="n">
        <x:v>120400.00000000001</x:v>
      </x:c>
      <x:c r="F429" s="72" t="n">
        <x:v>149662.24999999997</x:v>
      </x:c>
      <x:c r="G429" s="72" t="n">
        <x:v>148205.78999999998</x:v>
      </x:c>
      <x:c r="H429" s="72" t="n">
        <x:v>1456.46</x:v>
      </x:c>
      <x:c r="I429" s="56" t="n">
        <x:v>0</x:v>
      </x:c>
      <x:c r="J429" s="56" t="n">
        <x:v>0</x:v>
      </x:c>
      <x:c r="K429" s="68" t="n">
        <x:f>IF(E429&lt;=0,"",G429/E429)</x:f>
        <x:v>1.2309450996677738</x:v>
      </x:c>
      <x:c r="L429" t="str">
        <x:f>IF(K429="","Not Calculated",IF(K429&lt;0.8,"Below 80%",IF(K429&lt;1,"80%-99.99%",IF(K429&lt;1.1,"100%-109.99%",IF(K429&lt;1.75,"110%-174.99%","175%+ Review")))))</x:f>
        <x:v>110%-174.99%</x:v>
      </x:c>
      <x:c r="M429" s="56" t="str">
        <x:v>Ready for Commission Calculation</x:v>
      </x:c>
      <x:c r="N429" s="74" t="n">
        <x:f>IF(E429&lt;=0,0,MIN(G429,E429*0.8)*0.01+MAX(0,MIN(G429,E429)-E429*0.8)*0.02)</x:f>
        <x:v>1444.8000000000002</x:v>
      </x:c>
      <x:c r="O429" s="74" t="n">
        <x:f>IF(E429&lt;=0,0,MAX(0,MIN(G429,E429*1.1)-E429)*0.035+MAX(0,G429-E429*1.1)*0.05)</x:f>
        <x:v>1209.6894999999981</x:v>
      </x:c>
      <x:c r="P429" s="74" t="n">
        <x:f>N429+O429</x:f>
        <x:v>2654.4894999999983</x:v>
      </x:c>
      <x:c r="Q429" s="76" t="n">
        <x:f>IF(G429&lt;=0,0,P429/G429)</x:f>
        <x:v>0.017910835332411768</x:v>
      </x:c>
    </x:row>
    <x:row r="430">
      <x:c r="A430" s="56" t="str">
        <x:v>EMP036</x:v>
      </x:c>
      <x:c r="B430" s="56" t="str">
        <x:v>Jasmine Sidhu</x:v>
      </x:c>
      <x:c r="C430" s="56" t="str">
        <x:v>Senior AE</x:v>
      </x:c>
      <x:c r="D430" s="56" t="str">
        <x:v>2026-09</x:v>
      </x:c>
      <x:c r="E430" s="72" t="n">
        <x:v>172000</x:v>
      </x:c>
      <x:c r="F430" s="72" t="n">
        <x:v>212860.08</x:v>
      </x:c>
      <x:c r="G430" s="72" t="n">
        <x:v>212725.16999999998</x:v>
      </x:c>
      <x:c r="H430" s="72" t="n">
        <x:v>134.91</x:v>
      </x:c>
      <x:c r="I430" s="56" t="n">
        <x:v>0</x:v>
      </x:c>
      <x:c r="J430" s="56" t="n">
        <x:v>0</x:v>
      </x:c>
      <x:c r="K430" s="68" t="n">
        <x:f>IF(E430&lt;=0,"",G430/E430)</x:f>
        <x:v>1.2367742441860463</x:v>
      </x:c>
      <x:c r="L430" t="str">
        <x:f>IF(K430="","Not Calculated",IF(K430&lt;0.8,"Below 80%",IF(K430&lt;1,"80%-99.99%",IF(K430&lt;1.1,"100%-109.99%",IF(K430&lt;1.75,"110%-174.99%","175%+ Review")))))</x:f>
        <x:v>110%-174.99%</x:v>
      </x:c>
      <x:c r="M430" s="56" t="str">
        <x:v>Ready for Commission Calculation</x:v>
      </x:c>
      <x:c r="N430" s="74" t="n">
        <x:f>IF(E430&lt;=0,0,MIN(G430,E430*0.8)*0.01+MAX(0,MIN(G430,E430)-E430*0.8)*0.02)</x:f>
        <x:v>2064</x:v>
      </x:c>
      <x:c r="O430" s="74" t="n">
        <x:f>IF(E430&lt;=0,0,MAX(0,MIN(G430,E430*1.1)-E430)*0.035+MAX(0,G430-E430*1.1)*0.05)</x:f>
        <x:v>1778.258499999999</x:v>
      </x:c>
      <x:c r="P430" s="74" t="n">
        <x:f>N430+O430</x:f>
        <x:v>3842.258499999999</x:v>
      </x:c>
      <x:c r="Q430" s="76" t="n">
        <x:f>IF(G430&lt;=0,0,P430/G430)</x:f>
        <x:v>0.01806207746831275</x:v>
      </x:c>
    </x:row>
    <x:row r="431">
      <x:c r="A431" s="56" t="str">
        <x:v>EMP036</x:v>
      </x:c>
      <x:c r="B431" s="56" t="str">
        <x:v>Jasmine Sidhu</x:v>
      </x:c>
      <x:c r="C431" s="56" t="str">
        <x:v>Senior AE</x:v>
      </x:c>
      <x:c r="D431" s="56" t="str">
        <x:v>2026-10</x:v>
      </x:c>
      <x:c r="E431" s="72" t="n">
        <x:v>172000</x:v>
      </x:c>
      <x:c r="F431" s="72" t="n">
        <x:v>225783.36</x:v>
      </x:c>
      <x:c r="G431" s="72" t="n">
        <x:v>225783.36</x:v>
      </x:c>
      <x:c r="H431" s="72" t="n">
        <x:v>0</x:v>
      </x:c>
      <x:c r="I431" s="56" t="n">
        <x:v>0</x:v>
      </x:c>
      <x:c r="J431" s="56" t="n">
        <x:v>0</x:v>
      </x:c>
      <x:c r="K431" s="68" t="n">
        <x:f>IF(E431&lt;=0,"",G431/E431)</x:f>
        <x:v>1.312693953488372</x:v>
      </x:c>
      <x:c r="L431" t="str">
        <x:f>IF(K431="","Not Calculated",IF(K431&lt;0.8,"Below 80%",IF(K431&lt;1,"80%-99.99%",IF(K431&lt;1.1,"100%-109.99%",IF(K431&lt;1.75,"110%-174.99%","175%+ Review")))))</x:f>
        <x:v>110%-174.99%</x:v>
      </x:c>
      <x:c r="M431" s="56" t="str">
        <x:v>Ready for Commission Calculation</x:v>
      </x:c>
      <x:c r="N431" s="74" t="n">
        <x:f>IF(E431&lt;=0,0,MIN(G431,E431*0.8)*0.01+MAX(0,MIN(G431,E431)-E431*0.8)*0.02)</x:f>
        <x:v>2064</x:v>
      </x:c>
      <x:c r="O431" s="74" t="n">
        <x:f>IF(E431&lt;=0,0,MAX(0,MIN(G431,E431*1.1)-E431)*0.035+MAX(0,G431-E431*1.1)*0.05)</x:f>
        <x:v>2431.1679999999988</x:v>
      </x:c>
      <x:c r="P431" s="74" t="n">
        <x:f>N431+O431</x:f>
        <x:v>4495.167999999999</x:v>
      </x:c>
      <x:c r="Q431" s="76" t="n">
        <x:f>IF(G431&lt;=0,0,P431/G431)</x:f>
        <x:v>0.01990920854397773</x:v>
      </x:c>
    </x:row>
    <x:row r="432">
      <x:c r="A432" s="56" t="str">
        <x:v>EMP036</x:v>
      </x:c>
      <x:c r="B432" s="56" t="str">
        <x:v>Jasmine Sidhu</x:v>
      </x:c>
      <x:c r="C432" s="56" t="str">
        <x:v>Senior AE</x:v>
      </x:c>
      <x:c r="D432" s="56" t="str">
        <x:v>2026-11</x:v>
      </x:c>
      <x:c r="E432" s="72" t="n">
        <x:v>154800</x:v>
      </x:c>
      <x:c r="F432" s="72" t="n">
        <x:v>175824.36999999997</x:v>
      </x:c>
      <x:c r="G432" s="72" t="n">
        <x:v>175244.69999999998</x:v>
      </x:c>
      <x:c r="H432" s="72" t="n">
        <x:v>579.6700000000001</x:v>
      </x:c>
      <x:c r="I432" s="56" t="n">
        <x:v>0</x:v>
      </x:c>
      <x:c r="J432" s="56" t="n">
        <x:v>0</x:v>
      </x:c>
      <x:c r="K432" s="68" t="n">
        <x:f>IF(E432&lt;=0,"",G432/E432)</x:f>
        <x:v>1.1320717054263565</x:v>
      </x:c>
      <x:c r="L432" t="str">
        <x:f>IF(K432="","Not Calculated",IF(K432&lt;0.8,"Below 80%",IF(K432&lt;1,"80%-99.99%",IF(K432&lt;1.1,"100%-109.99%",IF(K432&lt;1.75,"110%-174.99%","175%+ Review")))))</x:f>
        <x:v>110%-174.99%</x:v>
      </x:c>
      <x:c r="M432" s="56" t="str">
        <x:v>Ready for Commission Calculation</x:v>
      </x:c>
      <x:c r="N432" s="74" t="n">
        <x:f>IF(E432&lt;=0,0,MIN(G432,E432*0.8)*0.01+MAX(0,MIN(G432,E432)-E432*0.8)*0.02)</x:f>
        <x:v>1857.6000000000001</x:v>
      </x:c>
      <x:c r="O432" s="74" t="n">
        <x:f>IF(E432&lt;=0,0,MAX(0,MIN(G432,E432*1.1)-E432)*0.035+MAX(0,G432-E432*1.1)*0.05)</x:f>
        <x:v>790.0349999999992</x:v>
      </x:c>
      <x:c r="P432" s="74" t="n">
        <x:f>N432+O432</x:f>
        <x:v>2647.6349999999993</x:v>
      </x:c>
      <x:c r="Q432" s="76" t="n">
        <x:f>IF(G432&lt;=0,0,P432/G432)</x:f>
        <x:v>0.015108217252789954</x:v>
      </x:c>
    </x:row>
    <x:row r="433">
      <x:c r="A433" s="56" t="str">
        <x:v>EMP036</x:v>
      </x:c>
      <x:c r="B433" s="56" t="str">
        <x:v>Jasmine Sidhu</x:v>
      </x:c>
      <x:c r="C433" s="56" t="str">
        <x:v>Senior AE</x:v>
      </x:c>
      <x:c r="D433" s="56" t="str">
        <x:v>2026-12</x:v>
      </x:c>
      <x:c r="E433" s="72" t="n">
        <x:v>172000</x:v>
      </x:c>
      <x:c r="F433" s="72" t="n">
        <x:v>221989.78</x:v>
      </x:c>
      <x:c r="G433" s="72" t="n">
        <x:v>220395.9</x:v>
      </x:c>
      <x:c r="H433" s="72" t="n">
        <x:v>1593.88</x:v>
      </x:c>
      <x:c r="I433" s="56" t="n">
        <x:v>0</x:v>
      </x:c>
      <x:c r="J433" s="56" t="n">
        <x:v>0</x:v>
      </x:c>
      <x:c r="K433" s="68" t="n">
        <x:f>IF(E433&lt;=0,"",G433/E433)</x:f>
        <x:v>1.281371511627907</x:v>
      </x:c>
      <x:c r="L433" t="str">
        <x:f>IF(K433="","Not Calculated",IF(K433&lt;0.8,"Below 80%",IF(K433&lt;1,"80%-99.99%",IF(K433&lt;1.1,"100%-109.99%",IF(K433&lt;1.75,"110%-174.99%","175%+ Review")))))</x:f>
        <x:v>110%-174.99%</x:v>
      </x:c>
      <x:c r="M433" s="56" t="str">
        <x:v>Ready for Commission Calculation</x:v>
      </x:c>
      <x:c r="N433" s="74" t="n">
        <x:f>IF(E433&lt;=0,0,MIN(G433,E433*0.8)*0.01+MAX(0,MIN(G433,E433)-E433*0.8)*0.02)</x:f>
        <x:v>2064</x:v>
      </x:c>
      <x:c r="O433" s="74" t="n">
        <x:f>IF(E433&lt;=0,0,MAX(0,MIN(G433,E433*1.1)-E433)*0.035+MAX(0,G433-E433*1.1)*0.05)</x:f>
        <x:v>2161.794999999999</x:v>
      </x:c>
      <x:c r="P433" s="74" t="n">
        <x:f>N433+O433</x:f>
        <x:v>4225.794999999999</x:v>
      </x:c>
      <x:c r="Q433" s="76" t="n">
        <x:f>IF(G433&lt;=0,0,P433/G433)</x:f>
        <x:v>0.019173655226798682</x:v>
      </x:c>
    </x:row>
    <x:row r="434">
      <x:c r="A434" s="56" t="str">
        <x:v>EMP037</x:v>
      </x:c>
      <x:c r="B434" s="56" t="str">
        <x:v>Erin MacDonald</x:v>
      </x:c>
      <x:c r="C434" s="56" t="str">
        <x:v>AE I</x:v>
      </x:c>
      <x:c r="D434" s="56" t="str">
        <x:v>2026-01</x:v>
      </x:c>
      <x:c r="E434" s="72" t="n">
        <x:v>69300</x:v>
      </x:c>
      <x:c r="F434" s="72" t="n">
        <x:v>61048.01999999999</x:v>
      </x:c>
      <x:c r="G434" s="72" t="n">
        <x:v>61048.01999999999</x:v>
      </x:c>
      <x:c r="H434" s="72" t="n">
        <x:v>0</x:v>
      </x:c>
      <x:c r="I434" s="56" t="n">
        <x:v>0</x:v>
      </x:c>
      <x:c r="J434" s="56" t="n">
        <x:v>0</x:v>
      </x:c>
      <x:c r="K434" s="68" t="n">
        <x:f>IF(E434&lt;=0,"",G434/E434)</x:f>
        <x:v>0.8809238095238093</x:v>
      </x:c>
      <x:c r="L434" t="str">
        <x:f>IF(K434="","Not Calculated",IF(K434&lt;0.8,"Below 80%",IF(K434&lt;1,"80%-99.99%",IF(K434&lt;1.1,"100%-109.99%",IF(K434&lt;1.75,"110%-174.99%","175%+ Review")))))</x:f>
        <x:v>80%-99.99%</x:v>
      </x:c>
      <x:c r="M434" s="56" t="str">
        <x:v>Ready for Commission Calculation</x:v>
      </x:c>
      <x:c r="N434" s="74" t="n">
        <x:f>IF(E434&lt;=0,0,MIN(G434,E434*0.8)*0.01+MAX(0,MIN(G434,E434)-E434*0.8)*0.02)</x:f>
        <x:v>666.5603999999997</x:v>
      </x:c>
      <x:c r="O434" s="74" t="n">
        <x:f>IF(E434&lt;=0,0,MAX(0,MIN(G434,E434*1.1)-E434)*0.035+MAX(0,G434-E434*1.1)*0.05)</x:f>
        <x:v>0</x:v>
      </x:c>
      <x:c r="P434" s="74" t="n">
        <x:f>N434+O434</x:f>
        <x:v>666.5603999999997</x:v>
      </x:c>
      <x:c r="Q434" s="76" t="n">
        <x:f>IF(G434&lt;=0,0,P434/G434)</x:f>
        <x:v>0.010918624387817981</x:v>
      </x:c>
    </x:row>
    <x:row r="435">
      <x:c r="A435" s="56" t="str">
        <x:v>EMP037</x:v>
      </x:c>
      <x:c r="B435" s="56" t="str">
        <x:v>Erin MacDonald</x:v>
      </x:c>
      <x:c r="C435" s="56" t="str">
        <x:v>AE I</x:v>
      </x:c>
      <x:c r="D435" s="56" t="str">
        <x:v>2026-02</x:v>
      </x:c>
      <x:c r="E435" s="72" t="n">
        <x:v>69300</x:v>
      </x:c>
      <x:c r="F435" s="72" t="n">
        <x:v>64747.119999999995</x:v>
      </x:c>
      <x:c r="G435" s="72" t="n">
        <x:v>60820.770000000004</x:v>
      </x:c>
      <x:c r="H435" s="72" t="n">
        <x:v>3926.35</x:v>
      </x:c>
      <x:c r="I435" s="56" t="n">
        <x:v>0</x:v>
      </x:c>
      <x:c r="J435" s="56" t="n">
        <x:v>0</x:v>
      </x:c>
      <x:c r="K435" s="68" t="n">
        <x:f>IF(E435&lt;=0,"",G435/E435)</x:f>
        <x:v>0.8776445887445888</x:v>
      </x:c>
      <x:c r="L435" t="str">
        <x:f>IF(K435="","Not Calculated",IF(K435&lt;0.8,"Below 80%",IF(K435&lt;1,"80%-99.99%",IF(K435&lt;1.1,"100%-109.99%",IF(K435&lt;1.75,"110%-174.99%","175%+ Review")))))</x:f>
        <x:v>80%-99.99%</x:v>
      </x:c>
      <x:c r="M435" s="56" t="str">
        <x:v>Ready for Commission Calculation</x:v>
      </x:c>
      <x:c r="N435" s="74" t="n">
        <x:f>IF(E435&lt;=0,0,MIN(G435,E435*0.8)*0.01+MAX(0,MIN(G435,E435)-E435*0.8)*0.02)</x:f>
        <x:v>662.0154</x:v>
      </x:c>
      <x:c r="O435" s="74" t="n">
        <x:f>IF(E435&lt;=0,0,MAX(0,MIN(G435,E435*1.1)-E435)*0.035+MAX(0,G435-E435*1.1)*0.05)</x:f>
        <x:v>0</x:v>
      </x:c>
      <x:c r="P435" s="74" t="n">
        <x:f>N435+O435</x:f>
        <x:v>662.0154</x:v>
      </x:c>
      <x:c r="Q435" s="76" t="n">
        <x:f>IF(G435&lt;=0,0,P435/G435)</x:f>
        <x:v>0.010884692844237256</x:v>
      </x:c>
    </x:row>
    <x:row r="436">
      <x:c r="A436" s="56" t="str">
        <x:v>EMP037</x:v>
      </x:c>
      <x:c r="B436" s="56" t="str">
        <x:v>Erin MacDonald</x:v>
      </x:c>
      <x:c r="C436" s="56" t="str">
        <x:v>AE I</x:v>
      </x:c>
      <x:c r="D436" s="56" t="str">
        <x:v>2026-03</x:v>
      </x:c>
      <x:c r="E436" s="72" t="n">
        <x:v>79200</x:v>
      </x:c>
      <x:c r="F436" s="72" t="n">
        <x:v>65859.16</x:v>
      </x:c>
      <x:c r="G436" s="72" t="n">
        <x:v>65859.16</x:v>
      </x:c>
      <x:c r="H436" s="72" t="n">
        <x:v>0</x:v>
      </x:c>
      <x:c r="I436" s="56" t="n">
        <x:v>0</x:v>
      </x:c>
      <x:c r="J436" s="56" t="n">
        <x:v>0</x:v>
      </x:c>
      <x:c r="K436" s="68" t="n">
        <x:f>IF(E436&lt;=0,"",G436/E436)</x:f>
        <x:v>0.8315550505050505</x:v>
      </x:c>
      <x:c r="L436" t="str">
        <x:f>IF(K436="","Not Calculated",IF(K436&lt;0.8,"Below 80%",IF(K436&lt;1,"80%-99.99%",IF(K436&lt;1.1,"100%-109.99%",IF(K436&lt;1.75,"110%-174.99%","175%+ Review")))))</x:f>
        <x:v>80%-99.99%</x:v>
      </x:c>
      <x:c r="M436" s="56" t="str">
        <x:v>Ready for Commission Calculation</x:v>
      </x:c>
      <x:c r="N436" s="74" t="n">
        <x:f>IF(E436&lt;=0,0,MIN(G436,E436*0.8)*0.01+MAX(0,MIN(G436,E436)-E436*0.8)*0.02)</x:f>
        <x:v>683.5832</x:v>
      </x:c>
      <x:c r="O436" s="74" t="n">
        <x:f>IF(E436&lt;=0,0,MAX(0,MIN(G436,E436*1.1)-E436)*0.035+MAX(0,G436-E436*1.1)*0.05)</x:f>
        <x:v>0</x:v>
      </x:c>
      <x:c r="P436" s="74" t="n">
        <x:f>N436+O436</x:f>
        <x:v>683.5832</x:v>
      </x:c>
      <x:c r="Q436" s="76" t="n">
        <x:f>IF(G436&lt;=0,0,P436/G436)</x:f>
        <x:v>0.010379470372838038</x:v>
      </x:c>
    </x:row>
    <x:row r="437">
      <x:c r="A437" s="56" t="str">
        <x:v>EMP037</x:v>
      </x:c>
      <x:c r="B437" s="56" t="str">
        <x:v>Erin MacDonald</x:v>
      </x:c>
      <x:c r="C437" s="56" t="str">
        <x:v>AE I</x:v>
      </x:c>
      <x:c r="D437" s="56" t="str">
        <x:v>2026-04</x:v>
      </x:c>
      <x:c r="E437" s="72" t="n">
        <x:v>79200</x:v>
      </x:c>
      <x:c r="F437" s="72" t="n">
        <x:v>72022.12000000001</x:v>
      </x:c>
      <x:c r="G437" s="72" t="n">
        <x:v>72022.12000000001</x:v>
      </x:c>
      <x:c r="H437" s="72" t="n">
        <x:v>0</x:v>
      </x:c>
      <x:c r="I437" s="56" t="n">
        <x:v>0</x:v>
      </x:c>
      <x:c r="J437" s="56" t="n">
        <x:v>0</x:v>
      </x:c>
      <x:c r="K437" s="68" t="n">
        <x:f>IF(E437&lt;=0,"",G437/E437)</x:f>
        <x:v>0.9093702020202021</x:v>
      </x:c>
      <x:c r="L437" t="str">
        <x:f>IF(K437="","Not Calculated",IF(K437&lt;0.8,"Below 80%",IF(K437&lt;1,"80%-99.99%",IF(K437&lt;1.1,"100%-109.99%",IF(K437&lt;1.75,"110%-174.99%","175%+ Review")))))</x:f>
        <x:v>80%-99.99%</x:v>
      </x:c>
      <x:c r="M437" s="56" t="str">
        <x:v>Ready for Commission Calculation</x:v>
      </x:c>
      <x:c r="N437" s="74" t="n">
        <x:f>IF(E437&lt;=0,0,MIN(G437,E437*0.8)*0.01+MAX(0,MIN(G437,E437)-E437*0.8)*0.02)</x:f>
        <x:v>806.8424000000002</x:v>
      </x:c>
      <x:c r="O437" s="74" t="n">
        <x:f>IF(E437&lt;=0,0,MAX(0,MIN(G437,E437*1.1)-E437)*0.035+MAX(0,G437-E437*1.1)*0.05)</x:f>
        <x:v>0</x:v>
      </x:c>
      <x:c r="P437" s="74" t="n">
        <x:f>N437+O437</x:f>
        <x:v>806.8424000000002</x:v>
      </x:c>
      <x:c r="Q437" s="76" t="n">
        <x:f>IF(G437&lt;=0,0,P437/G437)</x:f>
        <x:v>0.01120270272521831</x:v>
      </x:c>
    </x:row>
    <x:row r="438">
      <x:c r="A438" s="56" t="str">
        <x:v>EMP037</x:v>
      </x:c>
      <x:c r="B438" s="56" t="str">
        <x:v>Erin MacDonald</x:v>
      </x:c>
      <x:c r="C438" s="56" t="str">
        <x:v>AE I</x:v>
      </x:c>
      <x:c r="D438" s="56" t="str">
        <x:v>2026-05</x:v>
      </x:c>
      <x:c r="E438" s="72" t="n">
        <x:v>79200</x:v>
      </x:c>
      <x:c r="F438" s="72" t="n">
        <x:v>68940.43000000001</x:v>
      </x:c>
      <x:c r="G438" s="72" t="n">
        <x:v>68468.95</x:v>
      </x:c>
      <x:c r="H438" s="72" t="n">
        <x:v>471.48</x:v>
      </x:c>
      <x:c r="I438" s="56" t="n">
        <x:v>0</x:v>
      </x:c>
      <x:c r="J438" s="56" t="n">
        <x:v>0</x:v>
      </x:c>
      <x:c r="K438" s="68" t="n">
        <x:f>IF(E438&lt;=0,"",G438/E438)</x:f>
        <x:v>0.8645069444444444</x:v>
      </x:c>
      <x:c r="L438" t="str">
        <x:f>IF(K438="","Not Calculated",IF(K438&lt;0.8,"Below 80%",IF(K438&lt;1,"80%-99.99%",IF(K438&lt;1.1,"100%-109.99%",IF(K438&lt;1.75,"110%-174.99%","175%+ Review")))))</x:f>
        <x:v>80%-99.99%</x:v>
      </x:c>
      <x:c r="M438" s="56" t="str">
        <x:v>Ready for Commission Calculation</x:v>
      </x:c>
      <x:c r="N438" s="74" t="n">
        <x:f>IF(E438&lt;=0,0,MIN(G438,E438*0.8)*0.01+MAX(0,MIN(G438,E438)-E438*0.8)*0.02)</x:f>
        <x:v>735.779</x:v>
      </x:c>
      <x:c r="O438" s="74" t="n">
        <x:f>IF(E438&lt;=0,0,MAX(0,MIN(G438,E438*1.1)-E438)*0.035+MAX(0,G438-E438*1.1)*0.05)</x:f>
        <x:v>0</x:v>
      </x:c>
      <x:c r="P438" s="74" t="n">
        <x:f>N438+O438</x:f>
        <x:v>735.779</x:v>
      </x:c>
      <x:c r="Q438" s="76" t="n">
        <x:f>IF(G438&lt;=0,0,P438/G438)</x:f>
        <x:v>0.010746170344367777</x:v>
      </x:c>
    </x:row>
    <x:row r="439">
      <x:c r="A439" s="56" t="str">
        <x:v>EMP037</x:v>
      </x:c>
      <x:c r="B439" s="56" t="str">
        <x:v>Erin MacDonald</x:v>
      </x:c>
      <x:c r="C439" s="56" t="str">
        <x:v>AE I</x:v>
      </x:c>
      <x:c r="D439" s="56" t="str">
        <x:v>2026-06</x:v>
      </x:c>
      <x:c r="E439" s="72" t="n">
        <x:v>89100</x:v>
      </x:c>
      <x:c r="F439" s="72" t="n">
        <x:v>83978.01</x:v>
      </x:c>
      <x:c r="G439" s="72" t="n">
        <x:v>83246.56</x:v>
      </x:c>
      <x:c r="H439" s="72" t="n">
        <x:v>731.45</x:v>
      </x:c>
      <x:c r="I439" s="56" t="n">
        <x:v>0</x:v>
      </x:c>
      <x:c r="J439" s="56" t="n">
        <x:v>0</x:v>
      </x:c>
      <x:c r="K439" s="68" t="n">
        <x:f>IF(E439&lt;=0,"",G439/E439)</x:f>
        <x:v>0.9343048260381593</x:v>
      </x:c>
      <x:c r="L439" t="str">
        <x:f>IF(K439="","Not Calculated",IF(K439&lt;0.8,"Below 80%",IF(K439&lt;1,"80%-99.99%",IF(K439&lt;1.1,"100%-109.99%",IF(K439&lt;1.75,"110%-174.99%","175%+ Review")))))</x:f>
        <x:v>80%-99.99%</x:v>
      </x:c>
      <x:c r="M439" s="56" t="str">
        <x:v>Ready for Commission Calculation</x:v>
      </x:c>
      <x:c r="N439" s="74" t="n">
        <x:f>IF(E439&lt;=0,0,MIN(G439,E439*0.8)*0.01+MAX(0,MIN(G439,E439)-E439*0.8)*0.02)</x:f>
        <x:v>952.1312</x:v>
      </x:c>
      <x:c r="O439" s="74" t="n">
        <x:f>IF(E439&lt;=0,0,MAX(0,MIN(G439,E439*1.1)-E439)*0.035+MAX(0,G439-E439*1.1)*0.05)</x:f>
        <x:v>0</x:v>
      </x:c>
      <x:c r="P439" s="74" t="n">
        <x:f>N439+O439</x:f>
        <x:v>952.1312</x:v>
      </x:c>
      <x:c r="Q439" s="76" t="n">
        <x:f>IF(G439&lt;=0,0,P439/G439)</x:f>
        <x:v>0.011437484023363849</x:v>
      </x:c>
    </x:row>
    <x:row r="440">
      <x:c r="A440" s="56" t="str">
        <x:v>EMP037</x:v>
      </x:c>
      <x:c r="B440" s="56" t="str">
        <x:v>Erin MacDonald</x:v>
      </x:c>
      <x:c r="C440" s="56" t="str">
        <x:v>AE I</x:v>
      </x:c>
      <x:c r="D440" s="56" t="str">
        <x:v>2026-07</x:v>
      </x:c>
      <x:c r="E440" s="72" t="n">
        <x:v>69300</x:v>
      </x:c>
      <x:c r="F440" s="72" t="n">
        <x:v>61968.85999999999</x:v>
      </x:c>
      <x:c r="G440" s="72" t="n">
        <x:v>61564.77</x:v>
      </x:c>
      <x:c r="H440" s="72" t="n">
        <x:v>404.09</x:v>
      </x:c>
      <x:c r="I440" s="56" t="n">
        <x:v>0</x:v>
      </x:c>
      <x:c r="J440" s="56" t="n">
        <x:v>0</x:v>
      </x:c>
      <x:c r="K440" s="68" t="n">
        <x:f>IF(E440&lt;=0,"",G440/E440)</x:f>
        <x:v>0.8883805194805194</x:v>
      </x:c>
      <x:c r="L440" t="str">
        <x:f>IF(K440="","Not Calculated",IF(K440&lt;0.8,"Below 80%",IF(K440&lt;1,"80%-99.99%",IF(K440&lt;1.1,"100%-109.99%",IF(K440&lt;1.75,"110%-174.99%","175%+ Review")))))</x:f>
        <x:v>80%-99.99%</x:v>
      </x:c>
      <x:c r="M440" s="56" t="str">
        <x:v>Ready for Commission Calculation</x:v>
      </x:c>
      <x:c r="N440" s="74" t="n">
        <x:f>IF(E440&lt;=0,0,MIN(G440,E440*0.8)*0.01+MAX(0,MIN(G440,E440)-E440*0.8)*0.02)</x:f>
        <x:v>676.8953999999999</x:v>
      </x:c>
      <x:c r="O440" s="74" t="n">
        <x:f>IF(E440&lt;=0,0,MAX(0,MIN(G440,E440*1.1)-E440)*0.035+MAX(0,G440-E440*1.1)*0.05)</x:f>
        <x:v>0</x:v>
      </x:c>
      <x:c r="P440" s="74" t="n">
        <x:f>N440+O440</x:f>
        <x:v>676.8953999999999</x:v>
      </x:c>
      <x:c r="Q440" s="76" t="n">
        <x:f>IF(G440&lt;=0,0,P440/G440)</x:f>
        <x:v>0.010994849814268777</x:v>
      </x:c>
    </x:row>
    <x:row r="441">
      <x:c r="A441" s="56" t="str">
        <x:v>EMP037</x:v>
      </x:c>
      <x:c r="B441" s="56" t="str">
        <x:v>Erin MacDonald</x:v>
      </x:c>
      <x:c r="C441" s="56" t="str">
        <x:v>AE I</x:v>
      </x:c>
      <x:c r="D441" s="56" t="str">
        <x:v>2026-08</x:v>
      </x:c>
      <x:c r="E441" s="72" t="n">
        <x:v>69300</x:v>
      </x:c>
      <x:c r="F441" s="72" t="n">
        <x:v>67120.98</x:v>
      </x:c>
      <x:c r="G441" s="72" t="n">
        <x:v>67120.98</x:v>
      </x:c>
      <x:c r="H441" s="72" t="n">
        <x:v>0</x:v>
      </x:c>
      <x:c r="I441" s="56" t="n">
        <x:v>0</x:v>
      </x:c>
      <x:c r="J441" s="56" t="n">
        <x:v>0</x:v>
      </x:c>
      <x:c r="K441" s="68" t="n">
        <x:f>IF(E441&lt;=0,"",G441/E441)</x:f>
        <x:v>0.96855670995671</x:v>
      </x:c>
      <x:c r="L441" t="str">
        <x:f>IF(K441="","Not Calculated",IF(K441&lt;0.8,"Below 80%",IF(K441&lt;1,"80%-99.99%",IF(K441&lt;1.1,"100%-109.99%",IF(K441&lt;1.75,"110%-174.99%","175%+ Review")))))</x:f>
        <x:v>80%-99.99%</x:v>
      </x:c>
      <x:c r="M441" s="56" t="str">
        <x:v>Ready for Commission Calculation</x:v>
      </x:c>
      <x:c r="N441" s="74" t="n">
        <x:f>IF(E441&lt;=0,0,MIN(G441,E441*0.8)*0.01+MAX(0,MIN(G441,E441)-E441*0.8)*0.02)</x:f>
        <x:v>788.0195999999999</x:v>
      </x:c>
      <x:c r="O441" s="74" t="n">
        <x:f>IF(E441&lt;=0,0,MAX(0,MIN(G441,E441*1.1)-E441)*0.035+MAX(0,G441-E441*1.1)*0.05)</x:f>
        <x:v>0</x:v>
      </x:c>
      <x:c r="P441" s="74" t="n">
        <x:f>N441+O441</x:f>
        <x:v>788.0195999999999</x:v>
      </x:c>
      <x:c r="Q441" s="76" t="n">
        <x:f>IF(G441&lt;=0,0,P441/G441)</x:f>
        <x:v>0.011740287463025717</x:v>
      </x:c>
    </x:row>
    <x:row r="442">
      <x:c r="A442" s="56" t="str">
        <x:v>EMP037</x:v>
      </x:c>
      <x:c r="B442" s="56" t="str">
        <x:v>Erin MacDonald</x:v>
      </x:c>
      <x:c r="C442" s="56" t="str">
        <x:v>AE I</x:v>
      </x:c>
      <x:c r="D442" s="56" t="str">
        <x:v>2026-09</x:v>
      </x:c>
      <x:c r="E442" s="72" t="n">
        <x:v>99000</x:v>
      </x:c>
      <x:c r="F442" s="72" t="n">
        <x:v>110394.19</x:v>
      </x:c>
      <x:c r="G442" s="72" t="n">
        <x:v>98466.44</x:v>
      </x:c>
      <x:c r="H442" s="72" t="n">
        <x:v>11927.75</x:v>
      </x:c>
      <x:c r="I442" s="56" t="n">
        <x:v>0</x:v>
      </x:c>
      <x:c r="J442" s="56" t="n">
        <x:v>0</x:v>
      </x:c>
      <x:c r="K442" s="68" t="n">
        <x:f>IF(E442&lt;=0,"",G442/E442)</x:f>
        <x:v>0.9946105050505051</x:v>
      </x:c>
      <x:c r="L442" t="str">
        <x:f>IF(K442="","Not Calculated",IF(K442&lt;0.8,"Below 80%",IF(K442&lt;1,"80%-99.99%",IF(K442&lt;1.1,"100%-109.99%",IF(K442&lt;1.75,"110%-174.99%","175%+ Review")))))</x:f>
        <x:v>80%-99.99%</x:v>
      </x:c>
      <x:c r="M442" s="56" t="str">
        <x:v>Ready for Commission Calculation</x:v>
      </x:c>
      <x:c r="N442" s="74" t="n">
        <x:f>IF(E442&lt;=0,0,MIN(G442,E442*0.8)*0.01+MAX(0,MIN(G442,E442)-E442*0.8)*0.02)</x:f>
        <x:v>1177.3288</x:v>
      </x:c>
      <x:c r="O442" s="74" t="n">
        <x:f>IF(E442&lt;=0,0,MAX(0,MIN(G442,E442*1.1)-E442)*0.035+MAX(0,G442-E442*1.1)*0.05)</x:f>
        <x:v>0</x:v>
      </x:c>
      <x:c r="P442" s="74" t="n">
        <x:f>N442+O442</x:f>
        <x:v>1177.3288</x:v>
      </x:c>
      <x:c r="Q442" s="76" t="n">
        <x:f>IF(G442&lt;=0,0,P442/G442)</x:f>
        <x:v>0.011956650407996877</x:v>
      </x:c>
    </x:row>
    <x:row r="443">
      <x:c r="A443" s="56" t="str">
        <x:v>EMP037</x:v>
      </x:c>
      <x:c r="B443" s="56" t="str">
        <x:v>Erin MacDonald</x:v>
      </x:c>
      <x:c r="C443" s="56" t="str">
        <x:v>AE I</x:v>
      </x:c>
      <x:c r="D443" s="56" t="str">
        <x:v>2026-10</x:v>
      </x:c>
      <x:c r="E443" s="72" t="n">
        <x:v>99000</x:v>
      </x:c>
      <x:c r="F443" s="72" t="n">
        <x:v>90636.64</x:v>
      </x:c>
      <x:c r="G443" s="72" t="n">
        <x:v>90390.09</x:v>
      </x:c>
      <x:c r="H443" s="72" t="n">
        <x:v>246.55</x:v>
      </x:c>
      <x:c r="I443" s="56" t="n">
        <x:v>0</x:v>
      </x:c>
      <x:c r="J443" s="56" t="n">
        <x:v>0</x:v>
      </x:c>
      <x:c r="K443" s="68" t="n">
        <x:f>IF(E443&lt;=0,"",G443/E443)</x:f>
        <x:v>0.9130312121212121</x:v>
      </x:c>
      <x:c r="L443" t="str">
        <x:f>IF(K443="","Not Calculated",IF(K443&lt;0.8,"Below 80%",IF(K443&lt;1,"80%-99.99%",IF(K443&lt;1.1,"100%-109.99%",IF(K443&lt;1.75,"110%-174.99%","175%+ Review")))))</x:f>
        <x:v>80%-99.99%</x:v>
      </x:c>
      <x:c r="M443" s="56" t="str">
        <x:v>Ready for Commission Calculation</x:v>
      </x:c>
      <x:c r="N443" s="74" t="n">
        <x:f>IF(E443&lt;=0,0,MIN(G443,E443*0.8)*0.01+MAX(0,MIN(G443,E443)-E443*0.8)*0.02)</x:f>
        <x:v>1015.8018</x:v>
      </x:c>
      <x:c r="O443" s="74" t="n">
        <x:f>IF(E443&lt;=0,0,MAX(0,MIN(G443,E443*1.1)-E443)*0.035+MAX(0,G443-E443*1.1)*0.05)</x:f>
        <x:v>0</x:v>
      </x:c>
      <x:c r="P443" s="74" t="n">
        <x:f>N443+O443</x:f>
        <x:v>1015.8018</x:v>
      </x:c>
      <x:c r="Q443" s="76" t="n">
        <x:f>IF(G443&lt;=0,0,P443/G443)</x:f>
        <x:v>0.011237977526076144</x:v>
      </x:c>
    </x:row>
    <x:row r="444">
      <x:c r="A444" s="56" t="str">
        <x:v>EMP037</x:v>
      </x:c>
      <x:c r="B444" s="56" t="str">
        <x:v>Erin MacDonald</x:v>
      </x:c>
      <x:c r="C444" s="56" t="str">
        <x:v>AE I</x:v>
      </x:c>
      <x:c r="D444" s="56" t="str">
        <x:v>2026-11</x:v>
      </x:c>
      <x:c r="E444" s="72" t="n">
        <x:v>89100</x:v>
      </x:c>
      <x:c r="F444" s="72" t="n">
        <x:v>104490.02</x:v>
      </x:c>
      <x:c r="G444" s="72" t="n">
        <x:v>89011.3</x:v>
      </x:c>
      <x:c r="H444" s="72" t="n">
        <x:v>15478.720000000001</x:v>
      </x:c>
      <x:c r="I444" s="56" t="n">
        <x:v>0</x:v>
      </x:c>
      <x:c r="J444" s="56" t="n">
        <x:v>0</x:v>
      </x:c>
      <x:c r="K444" s="68" t="n">
        <x:f>IF(E444&lt;=0,"",G444/E444)</x:f>
        <x:v>0.9990044893378227</x:v>
      </x:c>
      <x:c r="L444" t="str">
        <x:f>IF(K444="","Not Calculated",IF(K444&lt;0.8,"Below 80%",IF(K444&lt;1,"80%-99.99%",IF(K444&lt;1.1,"100%-109.99%",IF(K444&lt;1.75,"110%-174.99%","175%+ Review")))))</x:f>
        <x:v>80%-99.99%</x:v>
      </x:c>
      <x:c r="M444" s="56" t="str">
        <x:v>Ready for Commission Calculation</x:v>
      </x:c>
      <x:c r="N444" s="74" t="n">
        <x:f>IF(E444&lt;=0,0,MIN(G444,E444*0.8)*0.01+MAX(0,MIN(G444,E444)-E444*0.8)*0.02)</x:f>
        <x:v>1067.4260000000002</x:v>
      </x:c>
      <x:c r="O444" s="74" t="n">
        <x:f>IF(E444&lt;=0,0,MAX(0,MIN(G444,E444*1.1)-E444)*0.035+MAX(0,G444-E444*1.1)*0.05)</x:f>
        <x:v>0</x:v>
      </x:c>
      <x:c r="P444" s="74" t="n">
        <x:f>N444+O444</x:f>
        <x:v>1067.4260000000002</x:v>
      </x:c>
      <x:c r="Q444" s="76" t="n">
        <x:f>IF(G444&lt;=0,0,P444/G444)</x:f>
        <x:v>0.011992027978470151</x:v>
      </x:c>
    </x:row>
    <x:row r="445">
      <x:c r="A445" s="56" t="str">
        <x:v>EMP037</x:v>
      </x:c>
      <x:c r="B445" s="56" t="str">
        <x:v>Erin MacDonald</x:v>
      </x:c>
      <x:c r="C445" s="56" t="str">
        <x:v>AE I</x:v>
      </x:c>
      <x:c r="D445" s="56" t="str">
        <x:v>2026-12</x:v>
      </x:c>
      <x:c r="E445" s="72" t="n">
        <x:v>99000</x:v>
      </x:c>
      <x:c r="F445" s="72" t="n">
        <x:v>99942.21999999999</x:v>
      </x:c>
      <x:c r="G445" s="72" t="n">
        <x:v>99942.21999999999</x:v>
      </x:c>
      <x:c r="H445" s="72" t="n">
        <x:v>0</x:v>
      </x:c>
      <x:c r="I445" s="56" t="n">
        <x:v>0</x:v>
      </x:c>
      <x:c r="J445" s="56" t="n">
        <x:v>0</x:v>
      </x:c>
      <x:c r="K445" s="68" t="n">
        <x:f>IF(E445&lt;=0,"",G445/E445)</x:f>
        <x:v>1.0095173737373735</x:v>
      </x:c>
      <x:c r="L445" t="str">
        <x:f>IF(K445="","Not Calculated",IF(K445&lt;0.8,"Below 80%",IF(K445&lt;1,"80%-99.99%",IF(K445&lt;1.1,"100%-109.99%",IF(K445&lt;1.75,"110%-174.99%","175%+ Review")))))</x:f>
        <x:v>100%-109.99%</x:v>
      </x:c>
      <x:c r="M445" s="56" t="str">
        <x:v>Ready for Commission Calculation</x:v>
      </x:c>
      <x:c r="N445" s="74" t="n">
        <x:f>IF(E445&lt;=0,0,MIN(G445,E445*0.8)*0.01+MAX(0,MIN(G445,E445)-E445*0.8)*0.02)</x:f>
        <x:v>1188</x:v>
      </x:c>
      <x:c r="O445" s="74" t="n">
        <x:f>IF(E445&lt;=0,0,MAX(0,MIN(G445,E445*1.1)-E445)*0.035+MAX(0,G445-E445*1.1)*0.05)</x:f>
        <x:v>32.97769999999954</x:v>
      </x:c>
      <x:c r="P445" s="74" t="n">
        <x:f>N445+O445</x:f>
        <x:v>1220.9776999999995</x:v>
      </x:c>
      <x:c r="Q445" s="76" t="n">
        <x:f>IF(G445&lt;=0,0,P445/G445)</x:f>
        <x:v>0.012216835887775954</x:v>
      </x:c>
    </x:row>
    <x:row r="446">
      <x:c r="A446" s="56" t="str">
        <x:v>EMP038</x:v>
      </x:c>
      <x:c r="B446" s="56" t="str">
        <x:v>Samuel Fraser</x:v>
      </x:c>
      <x:c r="C446" s="56" t="str">
        <x:v>AE I</x:v>
      </x:c>
      <x:c r="D446" s="56" t="str">
        <x:v>2026-01</x:v>
      </x:c>
      <x:c r="E446" s="72" t="n">
        <x:v>65100.00000000001</x:v>
      </x:c>
      <x:c r="F446" s="72" t="n">
        <x:v>68111.25</x:v>
      </x:c>
      <x:c r="G446" s="72" t="n">
        <x:v>67956.93000000001</x:v>
      </x:c>
      <x:c r="H446" s="72" t="n">
        <x:v>154.32</x:v>
      </x:c>
      <x:c r="I446" s="56" t="n">
        <x:v>0</x:v>
      </x:c>
      <x:c r="J446" s="56" t="n">
        <x:v>0</x:v>
      </x:c>
      <x:c r="K446" s="68" t="n">
        <x:f>IF(E446&lt;=0,"",G446/E446)</x:f>
        <x:v>1.0438852534562213</x:v>
      </x:c>
      <x:c r="L446" t="str">
        <x:f>IF(K446="","Not Calculated",IF(K446&lt;0.8,"Below 80%",IF(K446&lt;1,"80%-99.99%",IF(K446&lt;1.1,"100%-109.99%",IF(K446&lt;1.75,"110%-174.99%","175%+ Review")))))</x:f>
        <x:v>100%-109.99%</x:v>
      </x:c>
      <x:c r="M446" s="56" t="str">
        <x:v>Ready for Commission Calculation</x:v>
      </x:c>
      <x:c r="N446" s="74" t="n">
        <x:f>IF(E446&lt;=0,0,MIN(G446,E446*0.8)*0.01+MAX(0,MIN(G446,E446)-E446*0.8)*0.02)</x:f>
        <x:v>781.2</x:v>
      </x:c>
      <x:c r="O446" s="74" t="n">
        <x:f>IF(E446&lt;=0,0,MAX(0,MIN(G446,E446*1.1)-E446)*0.035+MAX(0,G446-E446*1.1)*0.05)</x:f>
        <x:v>99.99255000000002</x:v>
      </x:c>
      <x:c r="P446" s="74" t="n">
        <x:f>N446+O446</x:f>
        <x:v>881.1925500000001</x:v>
      </x:c>
      <x:c r="Q446" s="76" t="n">
        <x:f>IF(G446&lt;=0,0,P446/G446)</x:f>
        <x:v>0.01296692699331768</x:v>
      </x:c>
    </x:row>
    <x:row r="447">
      <x:c r="A447" s="56" t="str">
        <x:v>EMP038</x:v>
      </x:c>
      <x:c r="B447" s="56" t="str">
        <x:v>Samuel Fraser</x:v>
      </x:c>
      <x:c r="C447" s="56" t="str">
        <x:v>AE I</x:v>
      </x:c>
      <x:c r="D447" s="56" t="str">
        <x:v>2026-02</x:v>
      </x:c>
      <x:c r="E447" s="72" t="n">
        <x:v>65100.00000000001</x:v>
      </x:c>
      <x:c r="F447" s="72" t="n">
        <x:v>80442.94</x:v>
      </x:c>
      <x:c r="G447" s="72" t="n">
        <x:v>80442.94</x:v>
      </x:c>
      <x:c r="H447" s="72" t="n">
        <x:v>0</x:v>
      </x:c>
      <x:c r="I447" s="56" t="n">
        <x:v>0</x:v>
      </x:c>
      <x:c r="J447" s="56" t="n">
        <x:v>0</x:v>
      </x:c>
      <x:c r="K447" s="68" t="n">
        <x:f>IF(E447&lt;=0,"",G447/E447)</x:f>
        <x:v>1.2356826420890936</x:v>
      </x:c>
      <x:c r="L447" t="str">
        <x:f>IF(K447="","Not Calculated",IF(K447&lt;0.8,"Below 80%",IF(K447&lt;1,"80%-99.99%",IF(K447&lt;1.1,"100%-109.99%",IF(K447&lt;1.75,"110%-174.99%","175%+ Review")))))</x:f>
        <x:v>110%-174.99%</x:v>
      </x:c>
      <x:c r="M447" s="56" t="str">
        <x:v>Ready for Commission Calculation</x:v>
      </x:c>
      <x:c r="N447" s="74" t="n">
        <x:f>IF(E447&lt;=0,0,MIN(G447,E447*0.8)*0.01+MAX(0,MIN(G447,E447)-E447*0.8)*0.02)</x:f>
        <x:v>781.2</x:v>
      </x:c>
      <x:c r="O447" s="74" t="n">
        <x:f>IF(E447&lt;=0,0,MAX(0,MIN(G447,E447*1.1)-E447)*0.035+MAX(0,G447-E447*1.1)*0.05)</x:f>
        <x:v>669.4969999999997</x:v>
      </x:c>
      <x:c r="P447" s="74" t="n">
        <x:f>N447+O447</x:f>
        <x:v>1450.6969999999997</x:v>
      </x:c>
      <x:c r="Q447" s="76" t="n">
        <x:f>IF(G447&lt;=0,0,P447/G447)</x:f>
        <x:v>0.018033863506231866</x:v>
      </x:c>
    </x:row>
    <x:row r="448">
      <x:c r="A448" s="56" t="str">
        <x:v>EMP038</x:v>
      </x:c>
      <x:c r="B448" s="56" t="str">
        <x:v>Samuel Fraser</x:v>
      </x:c>
      <x:c r="C448" s="56" t="str">
        <x:v>AE I</x:v>
      </x:c>
      <x:c r="D448" s="56" t="str">
        <x:v>2026-03</x:v>
      </x:c>
      <x:c r="E448" s="72" t="n">
        <x:v>74400</x:v>
      </x:c>
      <x:c r="F448" s="72" t="n">
        <x:v>92015.72999999998</x:v>
      </x:c>
      <x:c r="G448" s="72" t="n">
        <x:v>92015.72999999998</x:v>
      </x:c>
      <x:c r="H448" s="72" t="n">
        <x:v>0</x:v>
      </x:c>
      <x:c r="I448" s="56" t="n">
        <x:v>0</x:v>
      </x:c>
      <x:c r="J448" s="56" t="n">
        <x:v>0</x:v>
      </x:c>
      <x:c r="K448" s="68" t="n">
        <x:f>IF(E448&lt;=0,"",G448/E448)</x:f>
        <x:v>1.2367705645161289</x:v>
      </x:c>
      <x:c r="L448" t="str">
        <x:f>IF(K448="","Not Calculated",IF(K448&lt;0.8,"Below 80%",IF(K448&lt;1,"80%-99.99%",IF(K448&lt;1.1,"100%-109.99%",IF(K448&lt;1.75,"110%-174.99%","175%+ Review")))))</x:f>
        <x:v>110%-174.99%</x:v>
      </x:c>
      <x:c r="M448" s="56" t="str">
        <x:v>Ready for Commission Calculation</x:v>
      </x:c>
      <x:c r="N448" s="74" t="n">
        <x:f>IF(E448&lt;=0,0,MIN(G448,E448*0.8)*0.01+MAX(0,MIN(G448,E448)-E448*0.8)*0.02)</x:f>
        <x:v>892.8000000000001</x:v>
      </x:c>
      <x:c r="O448" s="74" t="n">
        <x:f>IF(E448&lt;=0,0,MAX(0,MIN(G448,E448*1.1)-E448)*0.035+MAX(0,G448-E448*1.1)*0.05)</x:f>
        <x:v>769.1864999999991</x:v>
      </x:c>
      <x:c r="P448" s="74" t="n">
        <x:f>N448+O448</x:f>
        <x:v>1661.986499999999</x:v>
      </x:c>
      <x:c r="Q448" s="76" t="n">
        <x:f>IF(G448&lt;=0,0,P448/G448)</x:f>
        <x:v>0.018061982445827462</x:v>
      </x:c>
    </x:row>
    <x:row r="449">
      <x:c r="A449" s="56" t="str">
        <x:v>EMP038</x:v>
      </x:c>
      <x:c r="B449" s="56" t="str">
        <x:v>Samuel Fraser</x:v>
      </x:c>
      <x:c r="C449" s="56" t="str">
        <x:v>AE I</x:v>
      </x:c>
      <x:c r="D449" s="56" t="str">
        <x:v>2026-04</x:v>
      </x:c>
      <x:c r="E449" s="72" t="n">
        <x:v>74400</x:v>
      </x:c>
      <x:c r="F449" s="72" t="n">
        <x:v>78545.44000000003</x:v>
      </x:c>
      <x:c r="G449" s="72" t="n">
        <x:v>78545.44000000003</x:v>
      </x:c>
      <x:c r="H449" s="72" t="n">
        <x:v>0</x:v>
      </x:c>
      <x:c r="I449" s="56" t="n">
        <x:v>0</x:v>
      </x:c>
      <x:c r="J449" s="56" t="n">
        <x:v>0</x:v>
      </x:c>
      <x:c r="K449" s="68" t="n">
        <x:f>IF(E449&lt;=0,"",G449/E449)</x:f>
        <x:v>1.055718279569893</x:v>
      </x:c>
      <x:c r="L449" t="str">
        <x:f>IF(K449="","Not Calculated",IF(K449&lt;0.8,"Below 80%",IF(K449&lt;1,"80%-99.99%",IF(K449&lt;1.1,"100%-109.99%",IF(K449&lt;1.75,"110%-174.99%","175%+ Review")))))</x:f>
        <x:v>100%-109.99%</x:v>
      </x:c>
      <x:c r="M449" s="56" t="str">
        <x:v>Ready for Commission Calculation</x:v>
      </x:c>
      <x:c r="N449" s="74" t="n">
        <x:f>IF(E449&lt;=0,0,MIN(G449,E449*0.8)*0.01+MAX(0,MIN(G449,E449)-E449*0.8)*0.02)</x:f>
        <x:v>892.8000000000001</x:v>
      </x:c>
      <x:c r="O449" s="74" t="n">
        <x:f>IF(E449&lt;=0,0,MAX(0,MIN(G449,E449*1.1)-E449)*0.035+MAX(0,G449-E449*1.1)*0.05)</x:f>
        <x:v>145.09040000000113</x:v>
      </x:c>
      <x:c r="P449" s="74" t="n">
        <x:f>N449+O449</x:f>
        <x:v>1037.8904000000011</x:v>
      </x:c>
      <x:c r="Q449" s="76" t="n">
        <x:f>IF(G449&lt;=0,0,P449/G449)</x:f>
        <x:v>0.01321388485442313</x:v>
      </x:c>
    </x:row>
    <x:row r="450">
      <x:c r="A450" s="56" t="str">
        <x:v>EMP038</x:v>
      </x:c>
      <x:c r="B450" s="56" t="str">
        <x:v>Samuel Fraser</x:v>
      </x:c>
      <x:c r="C450" s="56" t="str">
        <x:v>AE I</x:v>
      </x:c>
      <x:c r="D450" s="56" t="str">
        <x:v>2026-05</x:v>
      </x:c>
      <x:c r="E450" s="72" t="n">
        <x:v>74400</x:v>
      </x:c>
      <x:c r="F450" s="72" t="n">
        <x:v>94081.19</x:v>
      </x:c>
      <x:c r="G450" s="72" t="n">
        <x:v>93630.42000000001</x:v>
      </x:c>
      <x:c r="H450" s="72" t="n">
        <x:v>450.77</x:v>
      </x:c>
      <x:c r="I450" s="56" t="n">
        <x:v>0</x:v>
      </x:c>
      <x:c r="J450" s="56" t="n">
        <x:v>0</x:v>
      </x:c>
      <x:c r="K450" s="68" t="n">
        <x:f>IF(E450&lt;=0,"",G450/E450)</x:f>
        <x:v>1.2584733870967744</x:v>
      </x:c>
      <x:c r="L450" t="str">
        <x:f>IF(K450="","Not Calculated",IF(K450&lt;0.8,"Below 80%",IF(K450&lt;1,"80%-99.99%",IF(K450&lt;1.1,"100%-109.99%",IF(K450&lt;1.75,"110%-174.99%","175%+ Review")))))</x:f>
        <x:v>110%-174.99%</x:v>
      </x:c>
      <x:c r="M450" s="56" t="str">
        <x:v>Ready for Commission Calculation</x:v>
      </x:c>
      <x:c r="N450" s="74" t="n">
        <x:f>IF(E450&lt;=0,0,MIN(G450,E450*0.8)*0.01+MAX(0,MIN(G450,E450)-E450*0.8)*0.02)</x:f>
        <x:v>892.8000000000001</x:v>
      </x:c>
      <x:c r="O450" s="74" t="n">
        <x:f>IF(E450&lt;=0,0,MAX(0,MIN(G450,E450*1.1)-E450)*0.035+MAX(0,G450-E450*1.1)*0.05)</x:f>
        <x:v>849.9210000000007</x:v>
      </x:c>
      <x:c r="P450" s="74" t="n">
        <x:f>N450+O450</x:f>
        <x:v>1742.721000000001</x:v>
      </x:c>
      <x:c r="Q450" s="76" t="n">
        <x:f>IF(G450&lt;=0,0,P450/G450)</x:f>
        <x:v>0.018612764953954076</x:v>
      </x:c>
    </x:row>
    <x:row r="451">
      <x:c r="A451" s="56" t="str">
        <x:v>EMP038</x:v>
      </x:c>
      <x:c r="B451" s="56" t="str">
        <x:v>Samuel Fraser</x:v>
      </x:c>
      <x:c r="C451" s="56" t="str">
        <x:v>AE I</x:v>
      </x:c>
      <x:c r="D451" s="56" t="str">
        <x:v>2026-06</x:v>
      </x:c>
      <x:c r="E451" s="72" t="n">
        <x:v>83700</x:v>
      </x:c>
      <x:c r="F451" s="72" t="n">
        <x:v>100605.91000000002</x:v>
      </x:c>
      <x:c r="G451" s="72" t="n">
        <x:v>103756.88000000002</x:v>
      </x:c>
      <x:c r="H451" s="72" t="n">
        <x:v>349.03</x:v>
      </x:c>
      <x:c r="I451" s="56" t="n">
        <x:v>1</x:v>
      </x:c>
      <x:c r="J451" s="56" t="n">
        <x:v>0</x:v>
      </x:c>
      <x:c r="K451" s="68" t="n">
        <x:f>IF(E451&lt;=0,"",G451/E451)</x:f>
        <x:v>1.2396281959378737</x:v>
      </x:c>
      <x:c r="L451" t="str">
        <x:f>IF(K451="","Not Calculated",IF(K451&lt;0.8,"Below 80%",IF(K451&lt;1,"80%-99.99%",IF(K451&lt;1.1,"100%-109.99%",IF(K451&lt;1.75,"110%-174.99%","175%+ Review")))))</x:f>
        <x:v>110%-174.99%</x:v>
      </x:c>
      <x:c r="M451" s="56" t="str">
        <x:v>Review - Sales Credit</x:v>
      </x:c>
      <x:c r="N451" s="74" t="n">
        <x:f>IF(E451&lt;=0,0,MIN(G451,E451*0.8)*0.01+MAX(0,MIN(G451,E451)-E451*0.8)*0.02)</x:f>
        <x:v>1004.4000000000001</x:v>
      </x:c>
      <x:c r="O451" s="74" t="n">
        <x:f>IF(E451&lt;=0,0,MAX(0,MIN(G451,E451*1.1)-E451)*0.035+MAX(0,G451-E451*1.1)*0.05)</x:f>
        <x:v>877.2940000000008</x:v>
      </x:c>
      <x:c r="P451" s="74" t="n">
        <x:f>N451+O451</x:f>
        <x:v>1881.6940000000009</x:v>
      </x:c>
      <x:c r="Q451" s="76" t="n">
        <x:f>IF(G451&lt;=0,0,P451/G451)</x:f>
        <x:v>0.01813560700745821</x:v>
      </x:c>
    </x:row>
    <x:row r="452">
      <x:c r="A452" s="56" t="str">
        <x:v>EMP038</x:v>
      </x:c>
      <x:c r="B452" s="56" t="str">
        <x:v>Samuel Fraser</x:v>
      </x:c>
      <x:c r="C452" s="56" t="str">
        <x:v>AE I</x:v>
      </x:c>
      <x:c r="D452" s="56" t="str">
        <x:v>2026-07</x:v>
      </x:c>
      <x:c r="E452" s="72" t="n">
        <x:v>65100.00000000001</x:v>
      </x:c>
      <x:c r="F452" s="72" t="n">
        <x:v>62817.58</x:v>
      </x:c>
      <x:c r="G452" s="72" t="n">
        <x:v>62658.87</x:v>
      </x:c>
      <x:c r="H452" s="72" t="n">
        <x:v>158.71</x:v>
      </x:c>
      <x:c r="I452" s="56" t="n">
        <x:v>0</x:v>
      </x:c>
      <x:c r="J452" s="56" t="n">
        <x:v>0</x:v>
      </x:c>
      <x:c r="K452" s="68" t="n">
        <x:f>IF(E452&lt;=0,"",G452/E452)</x:f>
        <x:v>0.9625018433179723</x:v>
      </x:c>
      <x:c r="L452" t="str">
        <x:f>IF(K452="","Not Calculated",IF(K452&lt;0.8,"Below 80%",IF(K452&lt;1,"80%-99.99%",IF(K452&lt;1.1,"100%-109.99%",IF(K452&lt;1.75,"110%-174.99%","175%+ Review")))))</x:f>
        <x:v>80%-99.99%</x:v>
      </x:c>
      <x:c r="M452" s="56" t="str">
        <x:v>Ready for Commission Calculation</x:v>
      </x:c>
      <x:c r="N452" s="74" t="n">
        <x:f>IF(E452&lt;=0,0,MIN(G452,E452*0.8)*0.01+MAX(0,MIN(G452,E452)-E452*0.8)*0.02)</x:f>
        <x:v>732.3774</x:v>
      </x:c>
      <x:c r="O452" s="74" t="n">
        <x:f>IF(E452&lt;=0,0,MAX(0,MIN(G452,E452*1.1)-E452)*0.035+MAX(0,G452-E452*1.1)*0.05)</x:f>
        <x:v>0</x:v>
      </x:c>
      <x:c r="P452" s="74" t="n">
        <x:f>N452+O452</x:f>
        <x:v>732.3774</x:v>
      </x:c>
      <x:c r="Q452" s="76" t="n">
        <x:f>IF(G452&lt;=0,0,P452/G452)</x:f>
        <x:v>0.011688327606291016</x:v>
      </x:c>
    </x:row>
    <x:row r="453">
      <x:c r="A453" s="56" t="str">
        <x:v>EMP038</x:v>
      </x:c>
      <x:c r="B453" s="56" t="str">
        <x:v>Samuel Fraser</x:v>
      </x:c>
      <x:c r="C453" s="56" t="str">
        <x:v>AE I</x:v>
      </x:c>
      <x:c r="D453" s="56" t="str">
        <x:v>2026-08</x:v>
      </x:c>
      <x:c r="E453" s="72" t="n">
        <x:v>65100.00000000001</x:v>
      </x:c>
      <x:c r="F453" s="72" t="n">
        <x:v>75581.89</x:v>
      </x:c>
      <x:c r="G453" s="72" t="n">
        <x:v>74874.79</x:v>
      </x:c>
      <x:c r="H453" s="72" t="n">
        <x:v>707.1</x:v>
      </x:c>
      <x:c r="I453" s="56" t="n">
        <x:v>0</x:v>
      </x:c>
      <x:c r="J453" s="56" t="n">
        <x:v>0</x:v>
      </x:c>
      <x:c r="K453" s="68" t="n">
        <x:f>IF(E453&lt;=0,"",G453/E453)</x:f>
        <x:v>1.1501503840245773</x:v>
      </x:c>
      <x:c r="L453" t="str">
        <x:f>IF(K453="","Not Calculated",IF(K453&lt;0.8,"Below 80%",IF(K453&lt;1,"80%-99.99%",IF(K453&lt;1.1,"100%-109.99%",IF(K453&lt;1.75,"110%-174.99%","175%+ Review")))))</x:f>
        <x:v>110%-174.99%</x:v>
      </x:c>
      <x:c r="M453" s="56" t="str">
        <x:v>Ready for Commission Calculation</x:v>
      </x:c>
      <x:c r="N453" s="74" t="n">
        <x:f>IF(E453&lt;=0,0,MIN(G453,E453*0.8)*0.01+MAX(0,MIN(G453,E453)-E453*0.8)*0.02)</x:f>
        <x:v>781.2</x:v>
      </x:c>
      <x:c r="O453" s="74" t="n">
        <x:f>IF(E453&lt;=0,0,MAX(0,MIN(G453,E453*1.1)-E453)*0.035+MAX(0,G453-E453*1.1)*0.05)</x:f>
        <x:v>391.08949999999925</x:v>
      </x:c>
      <x:c r="P453" s="74" t="n">
        <x:f>N453+O453</x:f>
        <x:v>1172.2894999999994</x:v>
      </x:c>
      <x:c r="Q453" s="76" t="n">
        <x:f>IF(G453&lt;=0,0,P453/G453)</x:f>
        <x:v>0.01565666494690669</x:v>
      </x:c>
    </x:row>
    <x:row r="454">
      <x:c r="A454" s="56" t="str">
        <x:v>EMP038</x:v>
      </x:c>
      <x:c r="B454" s="56" t="str">
        <x:v>Samuel Fraser</x:v>
      </x:c>
      <x:c r="C454" s="56" t="str">
        <x:v>AE I</x:v>
      </x:c>
      <x:c r="D454" s="56" t="str">
        <x:v>2026-09</x:v>
      </x:c>
      <x:c r="E454" s="72" t="n">
        <x:v>93000</x:v>
      </x:c>
      <x:c r="F454" s="72" t="n">
        <x:v>109346.7</x:v>
      </x:c>
      <x:c r="G454" s="72" t="n">
        <x:v>108089.42000000001</x:v>
      </x:c>
      <x:c r="H454" s="72" t="n">
        <x:v>1257.28</x:v>
      </x:c>
      <x:c r="I454" s="56" t="n">
        <x:v>0</x:v>
      </x:c>
      <x:c r="J454" s="56" t="n">
        <x:v>0</x:v>
      </x:c>
      <x:c r="K454" s="68" t="n">
        <x:f>IF(E454&lt;=0,"",G454/E454)</x:f>
        <x:v>1.1622518279569893</x:v>
      </x:c>
      <x:c r="L454" t="str">
        <x:f>IF(K454="","Not Calculated",IF(K454&lt;0.8,"Below 80%",IF(K454&lt;1,"80%-99.99%",IF(K454&lt;1.1,"100%-109.99%",IF(K454&lt;1.75,"110%-174.99%","175%+ Review")))))</x:f>
        <x:v>110%-174.99%</x:v>
      </x:c>
      <x:c r="M454" s="56" t="str">
        <x:v>Ready for Commission Calculation</x:v>
      </x:c>
      <x:c r="N454" s="74" t="n">
        <x:f>IF(E454&lt;=0,0,MIN(G454,E454*0.8)*0.01+MAX(0,MIN(G454,E454)-E454*0.8)*0.02)</x:f>
        <x:v>1116</x:v>
      </x:c>
      <x:c r="O454" s="74" t="n">
        <x:f>IF(E454&lt;=0,0,MAX(0,MIN(G454,E454*1.1)-E454)*0.035+MAX(0,G454-E454*1.1)*0.05)</x:f>
        <x:v>614.9710000000005</x:v>
      </x:c>
      <x:c r="P454" s="74" t="n">
        <x:f>N454+O454</x:f>
        <x:v>1730.9710000000005</x:v>
      </x:c>
      <x:c r="Q454" s="76" t="n">
        <x:f>IF(G454&lt;=0,0,P454/G454)</x:f>
        <x:v>0.016014250053335472</x:v>
      </x:c>
    </x:row>
    <x:row r="455">
      <x:c r="A455" s="56" t="str">
        <x:v>EMP038</x:v>
      </x:c>
      <x:c r="B455" s="56" t="str">
        <x:v>Samuel Fraser</x:v>
      </x:c>
      <x:c r="C455" s="56" t="str">
        <x:v>AE I</x:v>
      </x:c>
      <x:c r="D455" s="56" t="str">
        <x:v>2026-10</x:v>
      </x:c>
      <x:c r="E455" s="72" t="n">
        <x:v>93000</x:v>
      </x:c>
      <x:c r="F455" s="72" t="n">
        <x:v>115668.91999999998</x:v>
      </x:c>
      <x:c r="G455" s="72" t="n">
        <x:v>115668.91999999998</x:v>
      </x:c>
      <x:c r="H455" s="72" t="n">
        <x:v>0</x:v>
      </x:c>
      <x:c r="I455" s="56" t="n">
        <x:v>0</x:v>
      </x:c>
      <x:c r="J455" s="56" t="n">
        <x:v>0</x:v>
      </x:c>
      <x:c r="K455" s="68" t="n">
        <x:f>IF(E455&lt;=0,"",G455/E455)</x:f>
        <x:v>1.243751827956989</x:v>
      </x:c>
      <x:c r="L455" t="str">
        <x:f>IF(K455="","Not Calculated",IF(K455&lt;0.8,"Below 80%",IF(K455&lt;1,"80%-99.99%",IF(K455&lt;1.1,"100%-109.99%",IF(K455&lt;1.75,"110%-174.99%","175%+ Review")))))</x:f>
        <x:v>110%-174.99%</x:v>
      </x:c>
      <x:c r="M455" s="56" t="str">
        <x:v>Ready for Commission Calculation</x:v>
      </x:c>
      <x:c r="N455" s="74" t="n">
        <x:f>IF(E455&lt;=0,0,MIN(G455,E455*0.8)*0.01+MAX(0,MIN(G455,E455)-E455*0.8)*0.02)</x:f>
        <x:v>1116</x:v>
      </x:c>
      <x:c r="O455" s="74" t="n">
        <x:f>IF(E455&lt;=0,0,MAX(0,MIN(G455,E455*1.1)-E455)*0.035+MAX(0,G455-E455*1.1)*0.05)</x:f>
        <x:v>993.9459999999991</x:v>
      </x:c>
      <x:c r="P455" s="74" t="n">
        <x:f>N455+O455</x:f>
        <x:v>2109.945999999999</x:v>
      </x:c>
      <x:c r="Q455" s="76" t="n">
        <x:f>IF(G455&lt;=0,0,P455/G455)</x:f>
        <x:v>0.01824125270643142</x:v>
      </x:c>
    </x:row>
    <x:row r="456">
      <x:c r="A456" s="56" t="str">
        <x:v>EMP038</x:v>
      </x:c>
      <x:c r="B456" s="56" t="str">
        <x:v>Samuel Fraser</x:v>
      </x:c>
      <x:c r="C456" s="56" t="str">
        <x:v>AE I</x:v>
      </x:c>
      <x:c r="D456" s="56" t="str">
        <x:v>2026-11</x:v>
      </x:c>
      <x:c r="E456" s="72" t="n">
        <x:v>83700</x:v>
      </x:c>
      <x:c r="F456" s="72" t="n">
        <x:v>107851.34999999999</x:v>
      </x:c>
      <x:c r="G456" s="72" t="n">
        <x:v>107485.37</x:v>
      </x:c>
      <x:c r="H456" s="72" t="n">
        <x:v>365.98</x:v>
      </x:c>
      <x:c r="I456" s="56" t="n">
        <x:v>0</x:v>
      </x:c>
      <x:c r="J456" s="56" t="n">
        <x:v>0</x:v>
      </x:c>
      <x:c r="K456" s="68" t="n">
        <x:f>IF(E456&lt;=0,"",G456/E456)</x:f>
        <x:v>1.284174074074074</x:v>
      </x:c>
      <x:c r="L456" t="str">
        <x:f>IF(K456="","Not Calculated",IF(K456&lt;0.8,"Below 80%",IF(K456&lt;1,"80%-99.99%",IF(K456&lt;1.1,"100%-109.99%",IF(K456&lt;1.75,"110%-174.99%","175%+ Review")))))</x:f>
        <x:v>110%-174.99%</x:v>
      </x:c>
      <x:c r="M456" s="56" t="str">
        <x:v>Ready for Commission Calculation</x:v>
      </x:c>
      <x:c r="N456" s="74" t="n">
        <x:f>IF(E456&lt;=0,0,MIN(G456,E456*0.8)*0.01+MAX(0,MIN(G456,E456)-E456*0.8)*0.02)</x:f>
        <x:v>1004.4000000000001</x:v>
      </x:c>
      <x:c r="O456" s="74" t="n">
        <x:f>IF(E456&lt;=0,0,MAX(0,MIN(G456,E456*1.1)-E456)*0.035+MAX(0,G456-E456*1.1)*0.05)</x:f>
        <x:v>1063.7184999999997</x:v>
      </x:c>
      <x:c r="P456" s="74" t="n">
        <x:f>N456+O456</x:f>
        <x:v>2068.1184999999996</x:v>
      </x:c>
      <x:c r="Q456" s="76" t="n">
        <x:f>IF(G456&lt;=0,0,P456/G456)</x:f>
        <x:v>0.019240930184266005</x:v>
      </x:c>
    </x:row>
    <x:row r="457">
      <x:c r="A457" s="56" t="str">
        <x:v>EMP038</x:v>
      </x:c>
      <x:c r="B457" s="56" t="str">
        <x:v>Samuel Fraser</x:v>
      </x:c>
      <x:c r="C457" s="56" t="str">
        <x:v>AE I</x:v>
      </x:c>
      <x:c r="D457" s="56" t="str">
        <x:v>2026-12</x:v>
      </x:c>
      <x:c r="E457" s="72" t="n">
        <x:v>93000</x:v>
      </x:c>
      <x:c r="F457" s="72" t="n">
        <x:v>117142.47000000002</x:v>
      </x:c>
      <x:c r="G457" s="72" t="n">
        <x:v>116614.42000000001</x:v>
      </x:c>
      <x:c r="H457" s="72" t="n">
        <x:v>528.05</x:v>
      </x:c>
      <x:c r="I457" s="56" t="n">
        <x:v>0</x:v>
      </x:c>
      <x:c r="J457" s="56" t="n">
        <x:v>0</x:v>
      </x:c>
      <x:c r="K457" s="68" t="n">
        <x:f>IF(E457&lt;=0,"",G457/E457)</x:f>
        <x:v>1.2539184946236561</x:v>
      </x:c>
      <x:c r="L457" t="str">
        <x:f>IF(K457="","Not Calculated",IF(K457&lt;0.8,"Below 80%",IF(K457&lt;1,"80%-99.99%",IF(K457&lt;1.1,"100%-109.99%",IF(K457&lt;1.75,"110%-174.99%","175%+ Review")))))</x:f>
        <x:v>110%-174.99%</x:v>
      </x:c>
      <x:c r="M457" s="56" t="str">
        <x:v>Ready for Commission Calculation</x:v>
      </x:c>
      <x:c r="N457" s="74" t="n">
        <x:f>IF(E457&lt;=0,0,MIN(G457,E457*0.8)*0.01+MAX(0,MIN(G457,E457)-E457*0.8)*0.02)</x:f>
        <x:v>1116</x:v>
      </x:c>
      <x:c r="O457" s="74" t="n">
        <x:f>IF(E457&lt;=0,0,MAX(0,MIN(G457,E457*1.1)-E457)*0.035+MAX(0,G457-E457*1.1)*0.05)</x:f>
        <x:v>1041.2210000000005</x:v>
      </x:c>
      <x:c r="P457" s="74" t="n">
        <x:f>N457+O457</x:f>
        <x:v>2157.2210000000005</x:v>
      </x:c>
      <x:c r="Q457" s="76" t="n">
        <x:f>IF(G457&lt;=0,0,P457/G457)</x:f>
        <x:v>0.018498749983063847</x:v>
      </x:c>
    </x:row>
    <x:row r="458">
      <x:c r="A458" s="56" t="str">
        <x:v>EMP039</x:v>
      </x:c>
      <x:c r="B458" s="56" t="str">
        <x:v>Isabelle LeBlanc</x:v>
      </x:c>
      <x:c r="C458" s="56" t="str">
        <x:v>AE I</x:v>
      </x:c>
      <x:c r="D458" s="56" t="str">
        <x:v>2026-01</x:v>
      </x:c>
      <x:c r="E458" s="72" t="n">
        <x:v>65100.00000000001</x:v>
      </x:c>
      <x:c r="F458" s="72" t="n">
        <x:v>72962.81999999999</x:v>
      </x:c>
      <x:c r="G458" s="72" t="n">
        <x:v>71534.54</x:v>
      </x:c>
      <x:c r="H458" s="72" t="n">
        <x:v>1428.28</x:v>
      </x:c>
      <x:c r="I458" s="56" t="n">
        <x:v>0</x:v>
      </x:c>
      <x:c r="J458" s="56" t="n">
        <x:v>0</x:v>
      </x:c>
      <x:c r="K458" s="68" t="n">
        <x:f>IF(E458&lt;=0,"",G458/E458)</x:f>
        <x:v>1.0988408602150534</x:v>
      </x:c>
      <x:c r="L458" t="str">
        <x:f>IF(K458="","Not Calculated",IF(K458&lt;0.8,"Below 80%",IF(K458&lt;1,"80%-99.99%",IF(K458&lt;1.1,"100%-109.99%",IF(K458&lt;1.75,"110%-174.99%","175%+ Review")))))</x:f>
        <x:v>100%-109.99%</x:v>
      </x:c>
      <x:c r="M458" s="56" t="str">
        <x:v>Ready for Commission Calculation</x:v>
      </x:c>
      <x:c r="N458" s="74" t="n">
        <x:f>IF(E458&lt;=0,0,MIN(G458,E458*0.8)*0.01+MAX(0,MIN(G458,E458)-E458*0.8)*0.02)</x:f>
        <x:v>781.2</x:v>
      </x:c>
      <x:c r="O458" s="74" t="n">
        <x:f>IF(E458&lt;=0,0,MAX(0,MIN(G458,E458*1.1)-E458)*0.035+MAX(0,G458-E458*1.1)*0.05)</x:f>
        <x:v>225.20889999999955</x:v>
      </x:c>
      <x:c r="P458" s="74" t="n">
        <x:f>N458+O458</x:f>
        <x:v>1006.4088999999996</x:v>
      </x:c>
      <x:c r="Q458" s="76" t="n">
        <x:f>IF(G458&lt;=0,0,P458/G458)</x:f>
        <x:v>0.014068852613017426</x:v>
      </x:c>
    </x:row>
    <x:row r="459">
      <x:c r="A459" s="56" t="str">
        <x:v>EMP039</x:v>
      </x:c>
      <x:c r="B459" s="56" t="str">
        <x:v>Isabelle LeBlanc</x:v>
      </x:c>
      <x:c r="C459" s="56" t="str">
        <x:v>AE I</x:v>
      </x:c>
      <x:c r="D459" s="56" t="str">
        <x:v>2026-02</x:v>
      </x:c>
      <x:c r="E459" s="72" t="n">
        <x:v>65100.00000000001</x:v>
      </x:c>
      <x:c r="F459" s="72" t="n">
        <x:v>71318.03000000001</x:v>
      </x:c>
      <x:c r="G459" s="72" t="n">
        <x:v>69557.89000000001</x:v>
      </x:c>
      <x:c r="H459" s="72" t="n">
        <x:v>1760.14</x:v>
      </x:c>
      <x:c r="I459" s="56" t="n">
        <x:v>0</x:v>
      </x:c>
      <x:c r="J459" s="56" t="n">
        <x:v>0</x:v>
      </x:c>
      <x:c r="K459" s="68" t="n">
        <x:f>IF(E459&lt;=0,"",G459/E459)</x:f>
        <x:v>1.0684775729646698</x:v>
      </x:c>
      <x:c r="L459" t="str">
        <x:f>IF(K459="","Not Calculated",IF(K459&lt;0.8,"Below 80%",IF(K459&lt;1,"80%-99.99%",IF(K459&lt;1.1,"100%-109.99%",IF(K459&lt;1.75,"110%-174.99%","175%+ Review")))))</x:f>
        <x:v>100%-109.99%</x:v>
      </x:c>
      <x:c r="M459" s="56" t="str">
        <x:v>Ready for Commission Calculation</x:v>
      </x:c>
      <x:c r="N459" s="74" t="n">
        <x:f>IF(E459&lt;=0,0,MIN(G459,E459*0.8)*0.01+MAX(0,MIN(G459,E459)-E459*0.8)*0.02)</x:f>
        <x:v>781.2</x:v>
      </x:c>
      <x:c r="O459" s="74" t="n">
        <x:f>IF(E459&lt;=0,0,MAX(0,MIN(G459,E459*1.1)-E459)*0.035+MAX(0,G459-E459*1.1)*0.05)</x:f>
        <x:v>156.02615000000026</x:v>
      </x:c>
      <x:c r="P459" s="74" t="n">
        <x:f>N459+O459</x:f>
        <x:v>937.2261500000003</x:v>
      </x:c>
      <x:c r="Q459" s="76" t="n">
        <x:f>IF(G459&lt;=0,0,P459/G459)</x:f>
        <x:v>0.013474045144267604</x:v>
      </x:c>
    </x:row>
    <x:row r="460">
      <x:c r="A460" s="56" t="str">
        <x:v>EMP039</x:v>
      </x:c>
      <x:c r="B460" s="56" t="str">
        <x:v>Isabelle LeBlanc</x:v>
      </x:c>
      <x:c r="C460" s="56" t="str">
        <x:v>AE I</x:v>
      </x:c>
      <x:c r="D460" s="56" t="str">
        <x:v>2026-03</x:v>
      </x:c>
      <x:c r="E460" s="72" t="n">
        <x:v>74400</x:v>
      </x:c>
      <x:c r="F460" s="72" t="n">
        <x:v>87326.79</x:v>
      </x:c>
      <x:c r="G460" s="72" t="n">
        <x:v>87039.48999999999</x:v>
      </x:c>
      <x:c r="H460" s="72" t="n">
        <x:v>287.3</x:v>
      </x:c>
      <x:c r="I460" s="56" t="n">
        <x:v>0</x:v>
      </x:c>
      <x:c r="J460" s="56" t="n">
        <x:v>0</x:v>
      </x:c>
      <x:c r="K460" s="68" t="n">
        <x:f>IF(E460&lt;=0,"",G460/E460)</x:f>
        <x:v>1.1698856182795698</x:v>
      </x:c>
      <x:c r="L460" t="str">
        <x:f>IF(K460="","Not Calculated",IF(K460&lt;0.8,"Below 80%",IF(K460&lt;1,"80%-99.99%",IF(K460&lt;1.1,"100%-109.99%",IF(K460&lt;1.75,"110%-174.99%","175%+ Review")))))</x:f>
        <x:v>110%-174.99%</x:v>
      </x:c>
      <x:c r="M460" s="56" t="str">
        <x:v>Ready for Commission Calculation</x:v>
      </x:c>
      <x:c r="N460" s="74" t="n">
        <x:f>IF(E460&lt;=0,0,MIN(G460,E460*0.8)*0.01+MAX(0,MIN(G460,E460)-E460*0.8)*0.02)</x:f>
        <x:v>892.8000000000001</x:v>
      </x:c>
      <x:c r="O460" s="74" t="n">
        <x:f>IF(E460&lt;=0,0,MAX(0,MIN(G460,E460*1.1)-E460)*0.035+MAX(0,G460-E460*1.1)*0.05)</x:f>
        <x:v>520.3744999999996</x:v>
      </x:c>
      <x:c r="P460" s="74" t="n">
        <x:f>N460+O460</x:f>
        <x:v>1413.1744999999996</x:v>
      </x:c>
      <x:c r="Q460" s="76" t="n">
        <x:f>IF(G460&lt;=0,0,P460/G460)</x:f>
        <x:v>0.016236015399446847</x:v>
      </x:c>
    </x:row>
    <x:row r="461">
      <x:c r="A461" s="56" t="str">
        <x:v>EMP039</x:v>
      </x:c>
      <x:c r="B461" s="56" t="str">
        <x:v>Isabelle LeBlanc</x:v>
      </x:c>
      <x:c r="C461" s="56" t="str">
        <x:v>AE I</x:v>
      </x:c>
      <x:c r="D461" s="56" t="str">
        <x:v>2026-04</x:v>
      </x:c>
      <x:c r="E461" s="72" t="n">
        <x:v>74400</x:v>
      </x:c>
      <x:c r="F461" s="72" t="n">
        <x:v>64094.659999999996</x:v>
      </x:c>
      <x:c r="G461" s="72" t="n">
        <x:v>64094.659999999996</x:v>
      </x:c>
      <x:c r="H461" s="72" t="n">
        <x:v>0</x:v>
      </x:c>
      <x:c r="I461" s="56" t="n">
        <x:v>0</x:v>
      </x:c>
      <x:c r="J461" s="56" t="n">
        <x:v>0</x:v>
      </x:c>
      <x:c r="K461" s="68" t="n">
        <x:f>IF(E461&lt;=0,"",G461/E461)</x:f>
        <x:v>0.8614873655913978</x:v>
      </x:c>
      <x:c r="L461" t="str">
        <x:f>IF(K461="","Not Calculated",IF(K461&lt;0.8,"Below 80%",IF(K461&lt;1,"80%-99.99%",IF(K461&lt;1.1,"100%-109.99%",IF(K461&lt;1.75,"110%-174.99%","175%+ Review")))))</x:f>
        <x:v>80%-99.99%</x:v>
      </x:c>
      <x:c r="M461" s="56" t="str">
        <x:v>Ready for Commission Calculation</x:v>
      </x:c>
      <x:c r="N461" s="74" t="n">
        <x:f>IF(E461&lt;=0,0,MIN(G461,E461*0.8)*0.01+MAX(0,MIN(G461,E461)-E461*0.8)*0.02)</x:f>
        <x:v>686.6931999999999</x:v>
      </x:c>
      <x:c r="O461" s="74" t="n">
        <x:f>IF(E461&lt;=0,0,MAX(0,MIN(G461,E461*1.1)-E461)*0.035+MAX(0,G461-E461*1.1)*0.05)</x:f>
        <x:v>0</x:v>
      </x:c>
      <x:c r="P461" s="74" t="n">
        <x:f>N461+O461</x:f>
        <x:v>686.6931999999999</x:v>
      </x:c>
      <x:c r="Q461" s="76" t="n">
        <x:f>IF(G461&lt;=0,0,P461/G461)</x:f>
        <x:v>0.010713734966376294</x:v>
      </x:c>
    </x:row>
    <x:row r="462">
      <x:c r="A462" s="56" t="str">
        <x:v>EMP039</x:v>
      </x:c>
      <x:c r="B462" s="56" t="str">
        <x:v>Isabelle LeBlanc</x:v>
      </x:c>
      <x:c r="C462" s="56" t="str">
        <x:v>AE I</x:v>
      </x:c>
      <x:c r="D462" s="56" t="str">
        <x:v>2026-05</x:v>
      </x:c>
      <x:c r="E462" s="72" t="n">
        <x:v>74400</x:v>
      </x:c>
      <x:c r="F462" s="72" t="n">
        <x:v>78895.90999999999</x:v>
      </x:c>
      <x:c r="G462" s="72" t="n">
        <x:v>78895.90999999999</x:v>
      </x:c>
      <x:c r="H462" s="72" t="n">
        <x:v>0</x:v>
      </x:c>
      <x:c r="I462" s="56" t="n">
        <x:v>0</x:v>
      </x:c>
      <x:c r="J462" s="56" t="n">
        <x:v>0</x:v>
      </x:c>
      <x:c r="K462" s="68" t="n">
        <x:f>IF(E462&lt;=0,"",G462/E462)</x:f>
        <x:v>1.0604288978494623</x:v>
      </x:c>
      <x:c r="L462" t="str">
        <x:f>IF(K462="","Not Calculated",IF(K462&lt;0.8,"Below 80%",IF(K462&lt;1,"80%-99.99%",IF(K462&lt;1.1,"100%-109.99%",IF(K462&lt;1.75,"110%-174.99%","175%+ Review")))))</x:f>
        <x:v>100%-109.99%</x:v>
      </x:c>
      <x:c r="M462" s="56" t="str">
        <x:v>Ready for Commission Calculation</x:v>
      </x:c>
      <x:c r="N462" s="74" t="n">
        <x:f>IF(E462&lt;=0,0,MIN(G462,E462*0.8)*0.01+MAX(0,MIN(G462,E462)-E462*0.8)*0.02)</x:f>
        <x:v>892.8000000000001</x:v>
      </x:c>
      <x:c r="O462" s="74" t="n">
        <x:f>IF(E462&lt;=0,0,MAX(0,MIN(G462,E462*1.1)-E462)*0.035+MAX(0,G462-E462*1.1)*0.05)</x:f>
        <x:v>157.35684999999964</x:v>
      </x:c>
      <x:c r="P462" s="74" t="n">
        <x:f>N462+O462</x:f>
        <x:v>1050.1568499999996</x:v>
      </x:c>
      <x:c r="Q462" s="76" t="n">
        <x:f>IF(G462&lt;=0,0,P462/G462)</x:f>
        <x:v>0.013310662745381856</x:v>
      </x:c>
    </x:row>
    <x:row r="463">
      <x:c r="A463" s="56" t="str">
        <x:v>EMP039</x:v>
      </x:c>
      <x:c r="B463" s="56" t="str">
        <x:v>Isabelle LeBlanc</x:v>
      </x:c>
      <x:c r="C463" s="56" t="str">
        <x:v>AE I</x:v>
      </x:c>
      <x:c r="D463" s="56" t="str">
        <x:v>2026-06</x:v>
      </x:c>
      <x:c r="E463" s="72" t="n">
        <x:v>83700</x:v>
      </x:c>
      <x:c r="F463" s="72" t="n">
        <x:v>95367.64</x:v>
      </x:c>
      <x:c r="G463" s="72" t="n">
        <x:v>95367.64</x:v>
      </x:c>
      <x:c r="H463" s="72" t="n">
        <x:v>0</x:v>
      </x:c>
      <x:c r="I463" s="56" t="n">
        <x:v>0</x:v>
      </x:c>
      <x:c r="J463" s="56" t="n">
        <x:v>0</x:v>
      </x:c>
      <x:c r="K463" s="68" t="n">
        <x:f>IF(E463&lt;=0,"",G463/E463)</x:f>
        <x:v>1.1393983273596178</x:v>
      </x:c>
      <x:c r="L463" t="str">
        <x:f>IF(K463="","Not Calculated",IF(K463&lt;0.8,"Below 80%",IF(K463&lt;1,"80%-99.99%",IF(K463&lt;1.1,"100%-109.99%",IF(K463&lt;1.75,"110%-174.99%","175%+ Review")))))</x:f>
        <x:v>110%-174.99%</x:v>
      </x:c>
      <x:c r="M463" s="56" t="str">
        <x:v>Ready for Commission Calculation</x:v>
      </x:c>
      <x:c r="N463" s="74" t="n">
        <x:f>IF(E463&lt;=0,0,MIN(G463,E463*0.8)*0.01+MAX(0,MIN(G463,E463)-E463*0.8)*0.02)</x:f>
        <x:v>1004.4000000000001</x:v>
      </x:c>
      <x:c r="O463" s="74" t="n">
        <x:f>IF(E463&lt;=0,0,MAX(0,MIN(G463,E463*1.1)-E463)*0.035+MAX(0,G463-E463*1.1)*0.05)</x:f>
        <x:v>457.8319999999998</x:v>
      </x:c>
      <x:c r="P463" s="74" t="n">
        <x:f>N463+O463</x:f>
        <x:v>1462.232</x:v>
      </x:c>
      <x:c r="Q463" s="76" t="n">
        <x:f>IF(G463&lt;=0,0,P463/G463)</x:f>
        <x:v>0.015332580317600394</x:v>
      </x:c>
    </x:row>
    <x:row r="464">
      <x:c r="A464" s="56" t="str">
        <x:v>EMP039</x:v>
      </x:c>
      <x:c r="B464" s="56" t="str">
        <x:v>Isabelle LeBlanc</x:v>
      </x:c>
      <x:c r="C464" s="56" t="str">
        <x:v>AE I</x:v>
      </x:c>
      <x:c r="D464" s="56" t="str">
        <x:v>2026-07</x:v>
      </x:c>
      <x:c r="E464" s="72" t="n">
        <x:v>65100.00000000001</x:v>
      </x:c>
      <x:c r="F464" s="72" t="n">
        <x:v>67467.1</x:v>
      </x:c>
      <x:c r="G464" s="72" t="n">
        <x:v>65622.27</x:v>
      </x:c>
      <x:c r="H464" s="72" t="n">
        <x:v>1844.83</x:v>
      </x:c>
      <x:c r="I464" s="56" t="n">
        <x:v>0</x:v>
      </x:c>
      <x:c r="J464" s="56" t="n">
        <x:v>0</x:v>
      </x:c>
      <x:c r="K464" s="68" t="n">
        <x:f>IF(E464&lt;=0,"",G464/E464)</x:f>
        <x:v>1.0080225806451613</x:v>
      </x:c>
      <x:c r="L464" t="str">
        <x:f>IF(K464="","Not Calculated",IF(K464&lt;0.8,"Below 80%",IF(K464&lt;1,"80%-99.99%",IF(K464&lt;1.1,"100%-109.99%",IF(K464&lt;1.75,"110%-174.99%","175%+ Review")))))</x:f>
        <x:v>100%-109.99%</x:v>
      </x:c>
      <x:c r="M464" s="56" t="str">
        <x:v>Ready for Commission Calculation</x:v>
      </x:c>
      <x:c r="N464" s="74" t="n">
        <x:f>IF(E464&lt;=0,0,MIN(G464,E464*0.8)*0.01+MAX(0,MIN(G464,E464)-E464*0.8)*0.02)</x:f>
        <x:v>781.2</x:v>
      </x:c>
      <x:c r="O464" s="74" t="n">
        <x:f>IF(E464&lt;=0,0,MAX(0,MIN(G464,E464*1.1)-E464)*0.035+MAX(0,G464-E464*1.1)*0.05)</x:f>
        <x:v>18.27944999999989</x:v>
      </x:c>
      <x:c r="P464" s="74" t="n">
        <x:f>N464+O464</x:f>
        <x:v>799.4794499999999</x:v>
      </x:c>
      <x:c r="Q464" s="76" t="n">
        <x:f>IF(G464&lt;=0,0,P464/G464)</x:f>
        <x:v>0.0121830508149139</x:v>
      </x:c>
    </x:row>
    <x:row r="465">
      <x:c r="A465" s="56" t="str">
        <x:v>EMP039</x:v>
      </x:c>
      <x:c r="B465" s="56" t="str">
        <x:v>Isabelle LeBlanc</x:v>
      </x:c>
      <x:c r="C465" s="56" t="str">
        <x:v>AE I</x:v>
      </x:c>
      <x:c r="D465" s="56" t="str">
        <x:v>2026-08</x:v>
      </x:c>
      <x:c r="E465" s="72" t="n">
        <x:v>65100.00000000001</x:v>
      </x:c>
      <x:c r="F465" s="72" t="n">
        <x:v>66154.43</x:v>
      </x:c>
      <x:c r="G465" s="72" t="n">
        <x:v>66154.43</x:v>
      </x:c>
      <x:c r="H465" s="72" t="n">
        <x:v>0</x:v>
      </x:c>
      <x:c r="I465" s="56" t="n">
        <x:v>0</x:v>
      </x:c>
      <x:c r="J465" s="56" t="n">
        <x:v>0</x:v>
      </x:c>
      <x:c r="K465" s="68" t="n">
        <x:f>IF(E465&lt;=0,"",G465/E465)</x:f>
        <x:v>1.0161970814132102</x:v>
      </x:c>
      <x:c r="L465" t="str">
        <x:f>IF(K465="","Not Calculated",IF(K465&lt;0.8,"Below 80%",IF(K465&lt;1,"80%-99.99%",IF(K465&lt;1.1,"100%-109.99%",IF(K465&lt;1.75,"110%-174.99%","175%+ Review")))))</x:f>
        <x:v>100%-109.99%</x:v>
      </x:c>
      <x:c r="M465" s="56" t="str">
        <x:v>Ready for Commission Calculation</x:v>
      </x:c>
      <x:c r="N465" s="74" t="n">
        <x:f>IF(E465&lt;=0,0,MIN(G465,E465*0.8)*0.01+MAX(0,MIN(G465,E465)-E465*0.8)*0.02)</x:f>
        <x:v>781.2</x:v>
      </x:c>
      <x:c r="O465" s="74" t="n">
        <x:f>IF(E465&lt;=0,0,MAX(0,MIN(G465,E465*1.1)-E465)*0.035+MAX(0,G465-E465*1.1)*0.05)</x:f>
        <x:v>36.905049999999505</x:v>
      </x:c>
      <x:c r="P465" s="74" t="n">
        <x:f>N465+O465</x:f>
        <x:v>818.1050499999996</x:v>
      </x:c>
      <x:c r="Q465" s="76" t="n">
        <x:f>IF(G465&lt;=0,0,P465/G465)</x:f>
        <x:v>0.012366595101794386</x:v>
      </x:c>
    </x:row>
    <x:row r="466">
      <x:c r="A466" s="56" t="str">
        <x:v>EMP039</x:v>
      </x:c>
      <x:c r="B466" s="56" t="str">
        <x:v>Isabelle LeBlanc</x:v>
      </x:c>
      <x:c r="C466" s="56" t="str">
        <x:v>AE I</x:v>
      </x:c>
      <x:c r="D466" s="56" t="str">
        <x:v>2026-09</x:v>
      </x:c>
      <x:c r="E466" s="72" t="n">
        <x:v>93000</x:v>
      </x:c>
      <x:c r="F466" s="72" t="n">
        <x:v>120025.77999999998</x:v>
      </x:c>
      <x:c r="G466" s="72" t="n">
        <x:v>109170.52999999998</x:v>
      </x:c>
      <x:c r="H466" s="72" t="n">
        <x:v>10855.25</x:v>
      </x:c>
      <x:c r="I466" s="56" t="n">
        <x:v>0</x:v>
      </x:c>
      <x:c r="J466" s="56" t="n">
        <x:v>0</x:v>
      </x:c>
      <x:c r="K466" s="68" t="n">
        <x:f>IF(E466&lt;=0,"",G466/E466)</x:f>
        <x:v>1.1738766666666665</x:v>
      </x:c>
      <x:c r="L466" t="str">
        <x:f>IF(K466="","Not Calculated",IF(K466&lt;0.8,"Below 80%",IF(K466&lt;1,"80%-99.99%",IF(K466&lt;1.1,"100%-109.99%",IF(K466&lt;1.75,"110%-174.99%","175%+ Review")))))</x:f>
        <x:v>110%-174.99%</x:v>
      </x:c>
      <x:c r="M466" s="56" t="str">
        <x:v>Ready for Commission Calculation</x:v>
      </x:c>
      <x:c r="N466" s="74" t="n">
        <x:f>IF(E466&lt;=0,0,MIN(G466,E466*0.8)*0.01+MAX(0,MIN(G466,E466)-E466*0.8)*0.02)</x:f>
        <x:v>1116</x:v>
      </x:c>
      <x:c r="O466" s="74" t="n">
        <x:f>IF(E466&lt;=0,0,MAX(0,MIN(G466,E466*1.1)-E466)*0.035+MAX(0,G466-E466*1.1)*0.05)</x:f>
        <x:v>669.026499999999</x:v>
      </x:c>
      <x:c r="P466" s="74" t="n">
        <x:f>N466+O466</x:f>
        <x:v>1785.026499999999</x:v>
      </x:c>
      <x:c r="Q466" s="76" t="n">
        <x:f>IF(G466&lt;=0,0,P466/G466)</x:f>
        <x:v>0.016350809142357366</x:v>
      </x:c>
    </x:row>
    <x:row r="467">
      <x:c r="A467" s="56" t="str">
        <x:v>EMP039</x:v>
      </x:c>
      <x:c r="B467" s="56" t="str">
        <x:v>Isabelle LeBlanc</x:v>
      </x:c>
      <x:c r="C467" s="56" t="str">
        <x:v>AE I</x:v>
      </x:c>
      <x:c r="D467" s="56" t="str">
        <x:v>2026-10</x:v>
      </x:c>
      <x:c r="E467" s="72" t="n">
        <x:v>93000</x:v>
      </x:c>
      <x:c r="F467" s="72" t="n">
        <x:v>106068.87000000001</x:v>
      </x:c>
      <x:c r="G467" s="72" t="n">
        <x:v>106068.87000000001</x:v>
      </x:c>
      <x:c r="H467" s="72" t="n">
        <x:v>0</x:v>
      </x:c>
      <x:c r="I467" s="56" t="n">
        <x:v>0</x:v>
      </x:c>
      <x:c r="J467" s="56" t="n">
        <x:v>0</x:v>
      </x:c>
      <x:c r="K467" s="68" t="n">
        <x:f>IF(E467&lt;=0,"",G467/E467)</x:f>
        <x:v>1.1405254838709677</x:v>
      </x:c>
      <x:c r="L467" t="str">
        <x:f>IF(K467="","Not Calculated",IF(K467&lt;0.8,"Below 80%",IF(K467&lt;1,"80%-99.99%",IF(K467&lt;1.1,"100%-109.99%",IF(K467&lt;1.75,"110%-174.99%","175%+ Review")))))</x:f>
        <x:v>110%-174.99%</x:v>
      </x:c>
      <x:c r="M467" s="56" t="str">
        <x:v>Ready for Commission Calculation</x:v>
      </x:c>
      <x:c r="N467" s="74" t="n">
        <x:f>IF(E467&lt;=0,0,MIN(G467,E467*0.8)*0.01+MAX(0,MIN(G467,E467)-E467*0.8)*0.02)</x:f>
        <x:v>1116</x:v>
      </x:c>
      <x:c r="O467" s="74" t="n">
        <x:f>IF(E467&lt;=0,0,MAX(0,MIN(G467,E467*1.1)-E467)*0.035+MAX(0,G467-E467*1.1)*0.05)</x:f>
        <x:v>513.9435000000003</x:v>
      </x:c>
      <x:c r="P467" s="74" t="n">
        <x:f>N467+O467</x:f>
        <x:v>1629.9435000000003</x:v>
      </x:c>
      <x:c r="Q467" s="76" t="n">
        <x:f>IF(G467&lt;=0,0,P467/G467)</x:f>
        <x:v>0.015366841373911122</x:v>
      </x:c>
    </x:row>
    <x:row r="468">
      <x:c r="A468" s="56" t="str">
        <x:v>EMP039</x:v>
      </x:c>
      <x:c r="B468" s="56" t="str">
        <x:v>Isabelle LeBlanc</x:v>
      </x:c>
      <x:c r="C468" s="56" t="str">
        <x:v>AE I</x:v>
      </x:c>
      <x:c r="D468" s="56" t="str">
        <x:v>2026-11</x:v>
      </x:c>
      <x:c r="E468" s="72" t="n">
        <x:v>83700</x:v>
      </x:c>
      <x:c r="F468" s="72" t="n">
        <x:v>91770.18000000001</x:v>
      </x:c>
      <x:c r="G468" s="72" t="n">
        <x:v>91318.61000000002</x:v>
      </x:c>
      <x:c r="H468" s="72" t="n">
        <x:v>451.57</x:v>
      </x:c>
      <x:c r="I468" s="56" t="n">
        <x:v>0</x:v>
      </x:c>
      <x:c r="J468" s="56" t="n">
        <x:v>0</x:v>
      </x:c>
      <x:c r="K468" s="68" t="n">
        <x:f>IF(E468&lt;=0,"",G468/E468)</x:f>
        <x:v>1.0910228195937874</x:v>
      </x:c>
      <x:c r="L468" t="str">
        <x:f>IF(K468="","Not Calculated",IF(K468&lt;0.8,"Below 80%",IF(K468&lt;1,"80%-99.99%",IF(K468&lt;1.1,"100%-109.99%",IF(K468&lt;1.75,"110%-174.99%","175%+ Review")))))</x:f>
        <x:v>100%-109.99%</x:v>
      </x:c>
      <x:c r="M468" s="56" t="str">
        <x:v>Ready for Commission Calculation</x:v>
      </x:c>
      <x:c r="N468" s="74" t="n">
        <x:f>IF(E468&lt;=0,0,MIN(G468,E468*0.8)*0.01+MAX(0,MIN(G468,E468)-E468*0.8)*0.02)</x:f>
        <x:v>1004.4000000000001</x:v>
      </x:c>
      <x:c r="O468" s="74" t="n">
        <x:f>IF(E468&lt;=0,0,MAX(0,MIN(G468,E468*1.1)-E468)*0.035+MAX(0,G468-E468*1.1)*0.05)</x:f>
        <x:v>266.65135000000055</x:v>
      </x:c>
      <x:c r="P468" s="74" t="n">
        <x:f>N468+O468</x:f>
        <x:v>1271.0513500000006</x:v>
      </x:c>
      <x:c r="Q468" s="76" t="n">
        <x:f>IF(G468&lt;=0,0,P468/G468)</x:f>
        <x:v>0.013918864402338148</x:v>
      </x:c>
    </x:row>
    <x:row r="469">
      <x:c r="A469" s="56" t="str">
        <x:v>EMP039</x:v>
      </x:c>
      <x:c r="B469" s="56" t="str">
        <x:v>Isabelle LeBlanc</x:v>
      </x:c>
      <x:c r="C469" s="56" t="str">
        <x:v>AE I</x:v>
      </x:c>
      <x:c r="D469" s="56" t="str">
        <x:v>2026-12</x:v>
      </x:c>
      <x:c r="E469" s="72" t="n">
        <x:v>93000</x:v>
      </x:c>
      <x:c r="F469" s="72" t="n">
        <x:v>114623.78</x:v>
      </x:c>
      <x:c r="G469" s="72" t="n">
        <x:v>113500.46</x:v>
      </x:c>
      <x:c r="H469" s="72" t="n">
        <x:v>1123.3200000000002</x:v>
      </x:c>
      <x:c r="I469" s="56" t="n">
        <x:v>0</x:v>
      </x:c>
      <x:c r="J469" s="56" t="n">
        <x:v>0</x:v>
      </x:c>
      <x:c r="K469" s="68" t="n">
        <x:f>IF(E469&lt;=0,"",G469/E469)</x:f>
        <x:v>1.220435053763441</x:v>
      </x:c>
      <x:c r="L469" t="str">
        <x:f>IF(K469="","Not Calculated",IF(K469&lt;0.8,"Below 80%",IF(K469&lt;1,"80%-99.99%",IF(K469&lt;1.1,"100%-109.99%",IF(K469&lt;1.75,"110%-174.99%","175%+ Review")))))</x:f>
        <x:v>110%-174.99%</x:v>
      </x:c>
      <x:c r="M469" s="56" t="str">
        <x:v>Ready for Commission Calculation</x:v>
      </x:c>
      <x:c r="N469" s="74" t="n">
        <x:f>IF(E469&lt;=0,0,MIN(G469,E469*0.8)*0.01+MAX(0,MIN(G469,E469)-E469*0.8)*0.02)</x:f>
        <x:v>1116</x:v>
      </x:c>
      <x:c r="O469" s="74" t="n">
        <x:f>IF(E469&lt;=0,0,MAX(0,MIN(G469,E469*1.1)-E469)*0.035+MAX(0,G469-E469*1.1)*0.05)</x:f>
        <x:v>885.5230000000001</x:v>
      </x:c>
      <x:c r="P469" s="74" t="n">
        <x:f>N469+O469</x:f>
        <x:v>2001.5230000000001</x:v>
      </x:c>
      <x:c r="Q469" s="76" t="n">
        <x:f>IF(G469&lt;=0,0,P469/G469)</x:f>
        <x:v>0.017634492406462494</x:v>
      </x:c>
    </x:row>
    <x:row r="470">
      <x:c r="A470" s="56" t="str">
        <x:v>EMP040</x:v>
      </x:c>
      <x:c r="B470" s="56" t="str">
        <x:v>Jacob Murphy</x:v>
      </x:c>
      <x:c r="C470" s="56" t="str">
        <x:v>AE I</x:v>
      </x:c>
      <x:c r="D470" s="56" t="str">
        <x:v>2026-01</x:v>
      </x:c>
      <x:c r="E470" s="72" t="n">
        <x:v>71400</x:v>
      </x:c>
      <x:c r="F470" s="72" t="n">
        <x:v>56229.780000000006</x:v>
      </x:c>
      <x:c r="G470" s="72" t="n">
        <x:v>55622.420000000006</x:v>
      </x:c>
      <x:c r="H470" s="72" t="n">
        <x:v>607.36</x:v>
      </x:c>
      <x:c r="I470" s="56" t="n">
        <x:v>0</x:v>
      </x:c>
      <x:c r="J470" s="56" t="n">
        <x:v>0</x:v>
      </x:c>
      <x:c r="K470" s="68" t="n">
        <x:f>IF(E470&lt;=0,"",G470/E470)</x:f>
        <x:v>0.7790254901960785</x:v>
      </x:c>
      <x:c r="L470" t="str">
        <x:f>IF(K470="","Not Calculated",IF(K470&lt;0.8,"Below 80%",IF(K470&lt;1,"80%-99.99%",IF(K470&lt;1.1,"100%-109.99%",IF(K470&lt;1.75,"110%-174.99%","175%+ Review")))))</x:f>
        <x:v>Below 80%</x:v>
      </x:c>
      <x:c r="M470" s="56" t="str">
        <x:v>Ready for Commission Calculation</x:v>
      </x:c>
      <x:c r="N470" s="74" t="n">
        <x:f>IF(E470&lt;=0,0,MIN(G470,E470*0.8)*0.01+MAX(0,MIN(G470,E470)-E470*0.8)*0.02)</x:f>
        <x:v>556.2242000000001</x:v>
      </x:c>
      <x:c r="O470" s="74" t="n">
        <x:f>IF(E470&lt;=0,0,MAX(0,MIN(G470,E470*1.1)-E470)*0.035+MAX(0,G470-E470*1.1)*0.05)</x:f>
        <x:v>0</x:v>
      </x:c>
      <x:c r="P470" s="74" t="n">
        <x:f>N470+O470</x:f>
        <x:v>556.2242000000001</x:v>
      </x:c>
      <x:c r="Q470" s="76" t="n">
        <x:f>IF(G470&lt;=0,0,P470/G470)</x:f>
        <x:v>0.01</x:v>
      </x:c>
    </x:row>
    <x:row r="471">
      <x:c r="A471" s="56" t="str">
        <x:v>EMP040</x:v>
      </x:c>
      <x:c r="B471" s="56" t="str">
        <x:v>Jacob Murphy</x:v>
      </x:c>
      <x:c r="C471" s="56" t="str">
        <x:v>AE I</x:v>
      </x:c>
      <x:c r="D471" s="56" t="str">
        <x:v>2026-02</x:v>
      </x:c>
      <x:c r="E471" s="72" t="n">
        <x:v>71400</x:v>
      </x:c>
      <x:c r="F471" s="72" t="n">
        <x:v>52709.08</x:v>
      </x:c>
      <x:c r="G471" s="72" t="n">
        <x:v>52090.04</x:v>
      </x:c>
      <x:c r="H471" s="72" t="n">
        <x:v>619.04</x:v>
      </x:c>
      <x:c r="I471" s="56" t="n">
        <x:v>0</x:v>
      </x:c>
      <x:c r="J471" s="56" t="n">
        <x:v>0</x:v>
      </x:c>
      <x:c r="K471" s="68" t="n">
        <x:f>IF(E471&lt;=0,"",G471/E471)</x:f>
        <x:v>0.729552380952381</x:v>
      </x:c>
      <x:c r="L471" t="str">
        <x:f>IF(K471="","Not Calculated",IF(K471&lt;0.8,"Below 80%",IF(K471&lt;1,"80%-99.99%",IF(K471&lt;1.1,"100%-109.99%",IF(K471&lt;1.75,"110%-174.99%","175%+ Review")))))</x:f>
        <x:v>Below 80%</x:v>
      </x:c>
      <x:c r="M471" s="56" t="str">
        <x:v>Ready for Commission Calculation</x:v>
      </x:c>
      <x:c r="N471" s="74" t="n">
        <x:f>IF(E471&lt;=0,0,MIN(G471,E471*0.8)*0.01+MAX(0,MIN(G471,E471)-E471*0.8)*0.02)</x:f>
        <x:v>520.9004</x:v>
      </x:c>
      <x:c r="O471" s="74" t="n">
        <x:f>IF(E471&lt;=0,0,MAX(0,MIN(G471,E471*1.1)-E471)*0.035+MAX(0,G471-E471*1.1)*0.05)</x:f>
        <x:v>0</x:v>
      </x:c>
      <x:c r="P471" s="74" t="n">
        <x:f>N471+O471</x:f>
        <x:v>520.9004</x:v>
      </x:c>
      <x:c r="Q471" s="76" t="n">
        <x:f>IF(G471&lt;=0,0,P471/G471)</x:f>
        <x:v>0.01</x:v>
      </x:c>
    </x:row>
    <x:row r="472">
      <x:c r="A472" s="56" t="str">
        <x:v>EMP040</x:v>
      </x:c>
      <x:c r="B472" s="56" t="str">
        <x:v>Jacob Murphy</x:v>
      </x:c>
      <x:c r="C472" s="56" t="str">
        <x:v>AE I</x:v>
      </x:c>
      <x:c r="D472" s="56" t="str">
        <x:v>2026-03</x:v>
      </x:c>
      <x:c r="E472" s="72" t="n">
        <x:v>81600</x:v>
      </x:c>
      <x:c r="F472" s="72" t="n">
        <x:v>72376.58</x:v>
      </x:c>
      <x:c r="G472" s="72" t="n">
        <x:v>70396.15</x:v>
      </x:c>
      <x:c r="H472" s="72" t="n">
        <x:v>1980.4299999999998</x:v>
      </x:c>
      <x:c r="I472" s="56" t="n">
        <x:v>0</x:v>
      </x:c>
      <x:c r="J472" s="56" t="n">
        <x:v>0</x:v>
      </x:c>
      <x:c r="K472" s="68" t="n">
        <x:f>IF(E472&lt;=0,"",G472/E472)</x:f>
        <x:v>0.8626979166666666</x:v>
      </x:c>
      <x:c r="L472" t="str">
        <x:f>IF(K472="","Not Calculated",IF(K472&lt;0.8,"Below 80%",IF(K472&lt;1,"80%-99.99%",IF(K472&lt;1.1,"100%-109.99%",IF(K472&lt;1.75,"110%-174.99%","175%+ Review")))))</x:f>
        <x:v>80%-99.99%</x:v>
      </x:c>
      <x:c r="M472" s="56" t="str">
        <x:v>Ready for Commission Calculation</x:v>
      </x:c>
      <x:c r="N472" s="74" t="n">
        <x:f>IF(E472&lt;=0,0,MIN(G472,E472*0.8)*0.01+MAX(0,MIN(G472,E472)-E472*0.8)*0.02)</x:f>
        <x:v>755.1229999999999</x:v>
      </x:c>
      <x:c r="O472" s="74" t="n">
        <x:f>IF(E472&lt;=0,0,MAX(0,MIN(G472,E472*1.1)-E472)*0.035+MAX(0,G472-E472*1.1)*0.05)</x:f>
        <x:v>0</x:v>
      </x:c>
      <x:c r="P472" s="74" t="n">
        <x:f>N472+O472</x:f>
        <x:v>755.1229999999999</x:v>
      </x:c>
      <x:c r="Q472" s="76" t="n">
        <x:f>IF(G472&lt;=0,0,P472/G472)</x:f>
        <x:v>0.010726765597266328</x:v>
      </x:c>
    </x:row>
    <x:row r="473">
      <x:c r="A473" s="56" t="str">
        <x:v>EMP040</x:v>
      </x:c>
      <x:c r="B473" s="56" t="str">
        <x:v>Jacob Murphy</x:v>
      </x:c>
      <x:c r="C473" s="56" t="str">
        <x:v>AE I</x:v>
      </x:c>
      <x:c r="D473" s="56" t="str">
        <x:v>2026-04</x:v>
      </x:c>
      <x:c r="E473" s="72" t="n">
        <x:v>81600</x:v>
      </x:c>
      <x:c r="F473" s="72" t="n">
        <x:v>69071.43000000001</x:v>
      </x:c>
      <x:c r="G473" s="72" t="n">
        <x:v>67335.2</x:v>
      </x:c>
      <x:c r="H473" s="72" t="n">
        <x:v>1736.23</x:v>
      </x:c>
      <x:c r="I473" s="56" t="n">
        <x:v>0</x:v>
      </x:c>
      <x:c r="J473" s="56" t="n">
        <x:v>0</x:v>
      </x:c>
      <x:c r="K473" s="68" t="n">
        <x:f>IF(E473&lt;=0,"",G473/E473)</x:f>
        <x:v>0.8251862745098039</x:v>
      </x:c>
      <x:c r="L473" t="str">
        <x:f>IF(K473="","Not Calculated",IF(K473&lt;0.8,"Below 80%",IF(K473&lt;1,"80%-99.99%",IF(K473&lt;1.1,"100%-109.99%",IF(K473&lt;1.75,"110%-174.99%","175%+ Review")))))</x:f>
        <x:v>80%-99.99%</x:v>
      </x:c>
      <x:c r="M473" s="56" t="str">
        <x:v>Ready for Commission Calculation</x:v>
      </x:c>
      <x:c r="N473" s="74" t="n">
        <x:f>IF(E473&lt;=0,0,MIN(G473,E473*0.8)*0.01+MAX(0,MIN(G473,E473)-E473*0.8)*0.02)</x:f>
        <x:v>693.904</x:v>
      </x:c>
      <x:c r="O473" s="74" t="n">
        <x:f>IF(E473&lt;=0,0,MAX(0,MIN(G473,E473*1.1)-E473)*0.035+MAX(0,G473-E473*1.1)*0.05)</x:f>
        <x:v>0</x:v>
      </x:c>
      <x:c r="P473" s="74" t="n">
        <x:f>N473+O473</x:f>
        <x:v>693.904</x:v>
      </x:c>
      <x:c r="Q473" s="76" t="n">
        <x:f>IF(G473&lt;=0,0,P473/G473)</x:f>
        <x:v>0.010305219261248203</x:v>
      </x:c>
    </x:row>
    <x:row r="474">
      <x:c r="A474" s="56" t="str">
        <x:v>EMP040</x:v>
      </x:c>
      <x:c r="B474" s="56" t="str">
        <x:v>Jacob Murphy</x:v>
      </x:c>
      <x:c r="C474" s="56" t="str">
        <x:v>AE I</x:v>
      </x:c>
      <x:c r="D474" s="56" t="str">
        <x:v>2026-05</x:v>
      </x:c>
      <x:c r="E474" s="72" t="n">
        <x:v>52645.161290322576</x:v>
      </x:c>
      <x:c r="F474" s="72" t="n">
        <x:v>40689.1</x:v>
      </x:c>
      <x:c r="G474" s="72" t="n">
        <x:v>40689.1</x:v>
      </x:c>
      <x:c r="H474" s="72" t="n">
        <x:v>0</x:v>
      </x:c>
      <x:c r="I474" s="56" t="n">
        <x:v>0</x:v>
      </x:c>
      <x:c r="J474" s="56" t="n">
        <x:v>0</x:v>
      </x:c>
      <x:c r="K474" s="68" t="n">
        <x:f>IF(E474&lt;=0,"",G474/E474)</x:f>
        <x:v>0.772893443627451</x:v>
      </x:c>
      <x:c r="L474" t="str">
        <x:f>IF(K474="","Not Calculated",IF(K474&lt;0.8,"Below 80%",IF(K474&lt;1,"80%-99.99%",IF(K474&lt;1.1,"100%-109.99%",IF(K474&lt;1.75,"110%-174.99%","175%+ Review")))))</x:f>
        <x:v>Below 80%</x:v>
      </x:c>
      <x:c r="M474" s="56" t="str">
        <x:v>Ready for Commission Calculation</x:v>
      </x:c>
      <x:c r="N474" s="74" t="n">
        <x:f>IF(E474&lt;=0,0,MIN(G474,E474*0.8)*0.01+MAX(0,MIN(G474,E474)-E474*0.8)*0.02)</x:f>
        <x:v>406.891</x:v>
      </x:c>
      <x:c r="O474" s="74" t="n">
        <x:f>IF(E474&lt;=0,0,MAX(0,MIN(G474,E474*1.1)-E474)*0.035+MAX(0,G474-E474*1.1)*0.05)</x:f>
        <x:v>0</x:v>
      </x:c>
      <x:c r="P474" s="74" t="n">
        <x:f>N474+O474</x:f>
        <x:v>406.891</x:v>
      </x:c>
      <x:c r="Q474" s="76" t="n">
        <x:f>IF(G474&lt;=0,0,P474/G474)</x:f>
        <x:v>0.01</x:v>
      </x:c>
    </x:row>
    <x:row r="475">
      <x:c r="A475" s="56" t="str">
        <x:v>EMP040</x:v>
      </x:c>
      <x:c r="B475" s="56" t="str">
        <x:v>Jacob Murphy</x:v>
      </x:c>
      <x:c r="C475" s="56" t="str">
        <x:v>AE I</x:v>
      </x:c>
      <x:c r="D475" s="56" t="str">
        <x:v>2026-06</x:v>
      </x:c>
      <x:c r="E475" s="72" t="n">
        <x:v>0</x:v>
      </x:c>
      <x:c r="F475" s="72" t="n">
        <x:v>0</x:v>
      </x:c>
      <x:c r="G475" s="72" t="n">
        <x:v>0</x:v>
      </x:c>
      <x:c r="H475" s="72" t="n">
        <x:v>0</x:v>
      </x:c>
      <x:c r="I475" s="56" t="n">
        <x:v>0</x:v>
      </x:c>
      <x:c r="J475" s="56" t="n">
        <x:v>0</x:v>
      </x:c>
      <x:c r="K475" s="68" t="str">
        <x:f>IF(E475&lt;=0,"",G475/E475)</x:f>
      </x:c>
      <x:c r="L475" t="str">
        <x:f>IF(K475="","Not Calculated",IF(K475&lt;0.8,"Below 80%",IF(K475&lt;1,"80%-99.99%",IF(K475&lt;1.1,"100%-109.99%",IF(K475&lt;1.75,"110%-174.99%","175%+ Review")))))</x:f>
        <x:v>Not Calculated</x:v>
      </x:c>
      <x:c r="M475" s="56" t="str">
        <x:v>Not Applicable</x:v>
      </x:c>
      <x:c r="N475" s="74" t="n">
        <x:f>IF(E475&lt;=0,0,MIN(G475,E475*0.8)*0.01+MAX(0,MIN(G475,E475)-E475*0.8)*0.02)</x:f>
        <x:v>0</x:v>
      </x:c>
      <x:c r="O475" s="74" t="n">
        <x:f>IF(E475&lt;=0,0,MAX(0,MIN(G475,E475*1.1)-E475)*0.035+MAX(0,G475-E475*1.1)*0.05)</x:f>
        <x:v>0</x:v>
      </x:c>
      <x:c r="P475" s="74" t="n">
        <x:f>N475+O475</x:f>
        <x:v>0</x:v>
      </x:c>
      <x:c r="Q475" s="76" t="n">
        <x:f>IF(G475&lt;=0,0,P475/G475)</x:f>
        <x:v>0</x:v>
      </x:c>
    </x:row>
    <x:row r="476">
      <x:c r="A476" s="56" t="str">
        <x:v>EMP040</x:v>
      </x:c>
      <x:c r="B476" s="56" t="str">
        <x:v>Jacob Murphy</x:v>
      </x:c>
      <x:c r="C476" s="56" t="str">
        <x:v>AE I</x:v>
      </x:c>
      <x:c r="D476" s="56" t="str">
        <x:v>2026-07</x:v>
      </x:c>
      <x:c r="E476" s="72" t="n">
        <x:v>0</x:v>
      </x:c>
      <x:c r="F476" s="72" t="n">
        <x:v>0</x:v>
      </x:c>
      <x:c r="G476" s="72" t="n">
        <x:v>0</x:v>
      </x:c>
      <x:c r="H476" s="72" t="n">
        <x:v>0</x:v>
      </x:c>
      <x:c r="I476" s="56" t="n">
        <x:v>0</x:v>
      </x:c>
      <x:c r="J476" s="56" t="n">
        <x:v>0</x:v>
      </x:c>
      <x:c r="K476" s="68" t="str">
        <x:f>IF(E476&lt;=0,"",G476/E476)</x:f>
      </x:c>
      <x:c r="L476" t="str">
        <x:f>IF(K476="","Not Calculated",IF(K476&lt;0.8,"Below 80%",IF(K476&lt;1,"80%-99.99%",IF(K476&lt;1.1,"100%-109.99%",IF(K476&lt;1.75,"110%-174.99%","175%+ Review")))))</x:f>
        <x:v>Not Calculated</x:v>
      </x:c>
      <x:c r="M476" s="56" t="str">
        <x:v>Not Applicable</x:v>
      </x:c>
      <x:c r="N476" s="74" t="n">
        <x:f>IF(E476&lt;=0,0,MIN(G476,E476*0.8)*0.01+MAX(0,MIN(G476,E476)-E476*0.8)*0.02)</x:f>
        <x:v>0</x:v>
      </x:c>
      <x:c r="O476" s="74" t="n">
        <x:f>IF(E476&lt;=0,0,MAX(0,MIN(G476,E476*1.1)-E476)*0.035+MAX(0,G476-E476*1.1)*0.05)</x:f>
        <x:v>0</x:v>
      </x:c>
      <x:c r="P476" s="74" t="n">
        <x:f>N476+O476</x:f>
        <x:v>0</x:v>
      </x:c>
      <x:c r="Q476" s="76" t="n">
        <x:f>IF(G476&lt;=0,0,P476/G476)</x:f>
        <x:v>0</x:v>
      </x:c>
    </x:row>
    <x:row r="477">
      <x:c r="A477" s="56" t="str">
        <x:v>EMP040</x:v>
      </x:c>
      <x:c r="B477" s="56" t="str">
        <x:v>Jacob Murphy</x:v>
      </x:c>
      <x:c r="C477" s="56" t="str">
        <x:v>AE I</x:v>
      </x:c>
      <x:c r="D477" s="56" t="str">
        <x:v>2026-08</x:v>
      </x:c>
      <x:c r="E477" s="72" t="n">
        <x:v>0</x:v>
      </x:c>
      <x:c r="F477" s="72" t="n">
        <x:v>0</x:v>
      </x:c>
      <x:c r="G477" s="72" t="n">
        <x:v>0</x:v>
      </x:c>
      <x:c r="H477" s="72" t="n">
        <x:v>0</x:v>
      </x:c>
      <x:c r="I477" s="56" t="n">
        <x:v>0</x:v>
      </x:c>
      <x:c r="J477" s="56" t="n">
        <x:v>0</x:v>
      </x:c>
      <x:c r="K477" s="68" t="str">
        <x:f>IF(E477&lt;=0,"",G477/E477)</x:f>
      </x:c>
      <x:c r="L477" t="str">
        <x:f>IF(K477="","Not Calculated",IF(K477&lt;0.8,"Below 80%",IF(K477&lt;1,"80%-99.99%",IF(K477&lt;1.1,"100%-109.99%",IF(K477&lt;1.75,"110%-174.99%","175%+ Review")))))</x:f>
        <x:v>Not Calculated</x:v>
      </x:c>
      <x:c r="M477" s="56" t="str">
        <x:v>Not Applicable</x:v>
      </x:c>
      <x:c r="N477" s="74" t="n">
        <x:f>IF(E477&lt;=0,0,MIN(G477,E477*0.8)*0.01+MAX(0,MIN(G477,E477)-E477*0.8)*0.02)</x:f>
        <x:v>0</x:v>
      </x:c>
      <x:c r="O477" s="74" t="n">
        <x:f>IF(E477&lt;=0,0,MAX(0,MIN(G477,E477*1.1)-E477)*0.035+MAX(0,G477-E477*1.1)*0.05)</x:f>
        <x:v>0</x:v>
      </x:c>
      <x:c r="P477" s="74" t="n">
        <x:f>N477+O477</x:f>
        <x:v>0</x:v>
      </x:c>
      <x:c r="Q477" s="76" t="n">
        <x:f>IF(G477&lt;=0,0,P477/G477)</x:f>
        <x:v>0</x:v>
      </x:c>
    </x:row>
    <x:row r="478">
      <x:c r="A478" s="56" t="str">
        <x:v>EMP040</x:v>
      </x:c>
      <x:c r="B478" s="56" t="str">
        <x:v>Jacob Murphy</x:v>
      </x:c>
      <x:c r="C478" s="56" t="str">
        <x:v>AE I</x:v>
      </x:c>
      <x:c r="D478" s="56" t="str">
        <x:v>2026-09</x:v>
      </x:c>
      <x:c r="E478" s="72" t="n">
        <x:v>0</x:v>
      </x:c>
      <x:c r="F478" s="72" t="n">
        <x:v>0</x:v>
      </x:c>
      <x:c r="G478" s="72" t="n">
        <x:v>0</x:v>
      </x:c>
      <x:c r="H478" s="72" t="n">
        <x:v>0</x:v>
      </x:c>
      <x:c r="I478" s="56" t="n">
        <x:v>0</x:v>
      </x:c>
      <x:c r="J478" s="56" t="n">
        <x:v>0</x:v>
      </x:c>
      <x:c r="K478" s="68" t="str">
        <x:f>IF(E478&lt;=0,"",G478/E478)</x:f>
      </x:c>
      <x:c r="L478" t="str">
        <x:f>IF(K478="","Not Calculated",IF(K478&lt;0.8,"Below 80%",IF(K478&lt;1,"80%-99.99%",IF(K478&lt;1.1,"100%-109.99%",IF(K478&lt;1.75,"110%-174.99%","175%+ Review")))))</x:f>
        <x:v>Not Calculated</x:v>
      </x:c>
      <x:c r="M478" s="56" t="str">
        <x:v>Not Applicable</x:v>
      </x:c>
      <x:c r="N478" s="74" t="n">
        <x:f>IF(E478&lt;=0,0,MIN(G478,E478*0.8)*0.01+MAX(0,MIN(G478,E478)-E478*0.8)*0.02)</x:f>
        <x:v>0</x:v>
      </x:c>
      <x:c r="O478" s="74" t="n">
        <x:f>IF(E478&lt;=0,0,MAX(0,MIN(G478,E478*1.1)-E478)*0.035+MAX(0,G478-E478*1.1)*0.05)</x:f>
        <x:v>0</x:v>
      </x:c>
      <x:c r="P478" s="74" t="n">
        <x:f>N478+O478</x:f>
        <x:v>0</x:v>
      </x:c>
      <x:c r="Q478" s="76" t="n">
        <x:f>IF(G478&lt;=0,0,P478/G478)</x:f>
        <x:v>0</x:v>
      </x:c>
    </x:row>
    <x:row r="479">
      <x:c r="A479" s="56" t="str">
        <x:v>EMP040</x:v>
      </x:c>
      <x:c r="B479" s="56" t="str">
        <x:v>Jacob Murphy</x:v>
      </x:c>
      <x:c r="C479" s="56" t="str">
        <x:v>AE I</x:v>
      </x:c>
      <x:c r="D479" s="56" t="str">
        <x:v>2026-10</x:v>
      </x:c>
      <x:c r="E479" s="72" t="n">
        <x:v>0</x:v>
      </x:c>
      <x:c r="F479" s="72" t="n">
        <x:v>0</x:v>
      </x:c>
      <x:c r="G479" s="72" t="n">
        <x:v>0</x:v>
      </x:c>
      <x:c r="H479" s="72" t="n">
        <x:v>0</x:v>
      </x:c>
      <x:c r="I479" s="56" t="n">
        <x:v>0</x:v>
      </x:c>
      <x:c r="J479" s="56" t="n">
        <x:v>0</x:v>
      </x:c>
      <x:c r="K479" s="68" t="str">
        <x:f>IF(E479&lt;=0,"",G479/E479)</x:f>
      </x:c>
      <x:c r="L479" t="str">
        <x:f>IF(K479="","Not Calculated",IF(K479&lt;0.8,"Below 80%",IF(K479&lt;1,"80%-99.99%",IF(K479&lt;1.1,"100%-109.99%",IF(K479&lt;1.75,"110%-174.99%","175%+ Review")))))</x:f>
        <x:v>Not Calculated</x:v>
      </x:c>
      <x:c r="M479" s="56" t="str">
        <x:v>Not Applicable</x:v>
      </x:c>
      <x:c r="N479" s="74" t="n">
        <x:f>IF(E479&lt;=0,0,MIN(G479,E479*0.8)*0.01+MAX(0,MIN(G479,E479)-E479*0.8)*0.02)</x:f>
        <x:v>0</x:v>
      </x:c>
      <x:c r="O479" s="74" t="n">
        <x:f>IF(E479&lt;=0,0,MAX(0,MIN(G479,E479*1.1)-E479)*0.035+MAX(0,G479-E479*1.1)*0.05)</x:f>
        <x:v>0</x:v>
      </x:c>
      <x:c r="P479" s="74" t="n">
        <x:f>N479+O479</x:f>
        <x:v>0</x:v>
      </x:c>
      <x:c r="Q479" s="76" t="n">
        <x:f>IF(G479&lt;=0,0,P479/G479)</x:f>
        <x:v>0</x:v>
      </x:c>
    </x:row>
    <x:row r="480">
      <x:c r="A480" s="56" t="str">
        <x:v>EMP040</x:v>
      </x:c>
      <x:c r="B480" s="56" t="str">
        <x:v>Jacob Murphy</x:v>
      </x:c>
      <x:c r="C480" s="56" t="str">
        <x:v>AE I</x:v>
      </x:c>
      <x:c r="D480" s="56" t="str">
        <x:v>2026-11</x:v>
      </x:c>
      <x:c r="E480" s="72" t="n">
        <x:v>0</x:v>
      </x:c>
      <x:c r="F480" s="72" t="n">
        <x:v>0</x:v>
      </x:c>
      <x:c r="G480" s="72" t="n">
        <x:v>0</x:v>
      </x:c>
      <x:c r="H480" s="72" t="n">
        <x:v>0</x:v>
      </x:c>
      <x:c r="I480" s="56" t="n">
        <x:v>0</x:v>
      </x:c>
      <x:c r="J480" s="56" t="n">
        <x:v>0</x:v>
      </x:c>
      <x:c r="K480" s="68" t="str">
        <x:f>IF(E480&lt;=0,"",G480/E480)</x:f>
      </x:c>
      <x:c r="L480" t="str">
        <x:f>IF(K480="","Not Calculated",IF(K480&lt;0.8,"Below 80%",IF(K480&lt;1,"80%-99.99%",IF(K480&lt;1.1,"100%-109.99%",IF(K480&lt;1.75,"110%-174.99%","175%+ Review")))))</x:f>
        <x:v>Not Calculated</x:v>
      </x:c>
      <x:c r="M480" s="56" t="str">
        <x:v>Not Applicable</x:v>
      </x:c>
      <x:c r="N480" s="74" t="n">
        <x:f>IF(E480&lt;=0,0,MIN(G480,E480*0.8)*0.01+MAX(0,MIN(G480,E480)-E480*0.8)*0.02)</x:f>
        <x:v>0</x:v>
      </x:c>
      <x:c r="O480" s="74" t="n">
        <x:f>IF(E480&lt;=0,0,MAX(0,MIN(G480,E480*1.1)-E480)*0.035+MAX(0,G480-E480*1.1)*0.05)</x:f>
        <x:v>0</x:v>
      </x:c>
      <x:c r="P480" s="74" t="n">
        <x:f>N480+O480</x:f>
        <x:v>0</x:v>
      </x:c>
      <x:c r="Q480" s="76" t="n">
        <x:f>IF(G480&lt;=0,0,P480/G480)</x:f>
        <x:v>0</x:v>
      </x:c>
    </x:row>
    <x:row r="481">
      <x:c r="A481" s="56" t="str">
        <x:v>EMP040</x:v>
      </x:c>
      <x:c r="B481" s="56" t="str">
        <x:v>Jacob Murphy</x:v>
      </x:c>
      <x:c r="C481" s="56" t="str">
        <x:v>AE I</x:v>
      </x:c>
      <x:c r="D481" s="56" t="str">
        <x:v>2026-12</x:v>
      </x:c>
      <x:c r="E481" s="72" t="n">
        <x:v>0</x:v>
      </x:c>
      <x:c r="F481" s="72" t="n">
        <x:v>0</x:v>
      </x:c>
      <x:c r="G481" s="72" t="n">
        <x:v>0</x:v>
      </x:c>
      <x:c r="H481" s="72" t="n">
        <x:v>0</x:v>
      </x:c>
      <x:c r="I481" s="56" t="n">
        <x:v>0</x:v>
      </x:c>
      <x:c r="J481" s="56" t="n">
        <x:v>0</x:v>
      </x:c>
      <x:c r="K481" s="68" t="str">
        <x:f>IF(E481&lt;=0,"",G481/E481)</x:f>
      </x:c>
      <x:c r="L481" t="str">
        <x:f>IF(K481="","Not Calculated",IF(K481&lt;0.8,"Below 80%",IF(K481&lt;1,"80%-99.99%",IF(K481&lt;1.1,"100%-109.99%",IF(K481&lt;1.75,"110%-174.99%","175%+ Review")))))</x:f>
        <x:v>Not Calculated</x:v>
      </x:c>
      <x:c r="M481" s="56" t="str">
        <x:v>Not Applicable</x:v>
      </x:c>
      <x:c r="N481" s="74" t="n">
        <x:f>IF(E481&lt;=0,0,MIN(G481,E481*0.8)*0.01+MAX(0,MIN(G481,E481)-E481*0.8)*0.02)</x:f>
        <x:v>0</x:v>
      </x:c>
      <x:c r="O481" s="74" t="n">
        <x:f>IF(E481&lt;=0,0,MAX(0,MIN(G481,E481*1.1)-E481)*0.035+MAX(0,G481-E481*1.1)*0.05)</x:f>
        <x:v>0</x:v>
      </x:c>
      <x:c r="P481" s="74" t="n">
        <x:f>N481+O481</x:f>
        <x:v>0</x:v>
      </x:c>
      <x:c r="Q481" s="76" t="n">
        <x:f>IF(G481&lt;=0,0,P481/G481)</x:f>
        <x:v>0</x:v>
      </x:c>
    </x:row>
    <x:row r="482">
      <x:c r="A482" s="56" t="str">
        <x:v>EMP041</x:v>
      </x:c>
      <x:c r="B482" s="56" t="str">
        <x:v>Mia O'Brien</x:v>
      </x:c>
      <x:c r="C482" s="56" t="str">
        <x:v>AE I</x:v>
      </x:c>
      <x:c r="D482" s="56" t="str">
        <x:v>2026-01</x:v>
      </x:c>
      <x:c r="E482" s="72" t="n">
        <x:v>67900</x:v>
      </x:c>
      <x:c r="F482" s="72" t="n">
        <x:v>58540.56</x:v>
      </x:c>
      <x:c r="G482" s="72" t="n">
        <x:v>58415.439999999995</x:v>
      </x:c>
      <x:c r="H482" s="72" t="n">
        <x:v>125.12</x:v>
      </x:c>
      <x:c r="I482" s="56" t="n">
        <x:v>0</x:v>
      </x:c>
      <x:c r="J482" s="56" t="n">
        <x:v>0</x:v>
      </x:c>
      <x:c r="K482" s="68" t="n">
        <x:f>IF(E482&lt;=0,"",G482/E482)</x:f>
        <x:v>0.8603157584683357</x:v>
      </x:c>
      <x:c r="L482" t="str">
        <x:f>IF(K482="","Not Calculated",IF(K482&lt;0.8,"Below 80%",IF(K482&lt;1,"80%-99.99%",IF(K482&lt;1.1,"100%-109.99%",IF(K482&lt;1.75,"110%-174.99%","175%+ Review")))))</x:f>
        <x:v>80%-99.99%</x:v>
      </x:c>
      <x:c r="M482" s="56" t="str">
        <x:v>Ready for Commission Calculation</x:v>
      </x:c>
      <x:c r="N482" s="74" t="n">
        <x:f>IF(E482&lt;=0,0,MIN(G482,E482*0.8)*0.01+MAX(0,MIN(G482,E482)-E482*0.8)*0.02)</x:f>
        <x:v>625.1088</x:v>
      </x:c>
      <x:c r="O482" s="74" t="n">
        <x:f>IF(E482&lt;=0,0,MAX(0,MIN(G482,E482*1.1)-E482)*0.035+MAX(0,G482-E482*1.1)*0.05)</x:f>
        <x:v>0</x:v>
      </x:c>
      <x:c r="P482" s="74" t="n">
        <x:f>N482+O482</x:f>
        <x:v>625.1088</x:v>
      </x:c>
      <x:c r="Q482" s="76" t="n">
        <x:f>IF(G482&lt;=0,0,P482/G482)</x:f>
        <x:v>0.010701088616297335</x:v>
      </x:c>
    </x:row>
    <x:row r="483">
      <x:c r="A483" s="56" t="str">
        <x:v>EMP041</x:v>
      </x:c>
      <x:c r="B483" s="56" t="str">
        <x:v>Mia O'Brien</x:v>
      </x:c>
      <x:c r="C483" s="56" t="str">
        <x:v>AE I</x:v>
      </x:c>
      <x:c r="D483" s="56" t="str">
        <x:v>2026-02</x:v>
      </x:c>
      <x:c r="E483" s="72" t="n">
        <x:v>67900</x:v>
      </x:c>
      <x:c r="F483" s="72" t="n">
        <x:v>68086.24</x:v>
      </x:c>
      <x:c r="G483" s="72" t="n">
        <x:v>68086.24</x:v>
      </x:c>
      <x:c r="H483" s="72" t="n">
        <x:v>0</x:v>
      </x:c>
      <x:c r="I483" s="56" t="n">
        <x:v>0</x:v>
      </x:c>
      <x:c r="J483" s="56" t="n">
        <x:v>0</x:v>
      </x:c>
      <x:c r="K483" s="68" t="n">
        <x:f>IF(E483&lt;=0,"",G483/E483)</x:f>
        <x:v>1.0027428571428572</x:v>
      </x:c>
      <x:c r="L483" t="str">
        <x:f>IF(K483="","Not Calculated",IF(K483&lt;0.8,"Below 80%",IF(K483&lt;1,"80%-99.99%",IF(K483&lt;1.1,"100%-109.99%",IF(K483&lt;1.75,"110%-174.99%","175%+ Review")))))</x:f>
        <x:v>100%-109.99%</x:v>
      </x:c>
      <x:c r="M483" s="56" t="str">
        <x:v>Ready for Commission Calculation</x:v>
      </x:c>
      <x:c r="N483" s="74" t="n">
        <x:f>IF(E483&lt;=0,0,MIN(G483,E483*0.8)*0.01+MAX(0,MIN(G483,E483)-E483*0.8)*0.02)</x:f>
        <x:v>814.8000000000001</x:v>
      </x:c>
      <x:c r="O483" s="74" t="n">
        <x:f>IF(E483&lt;=0,0,MAX(0,MIN(G483,E483*1.1)-E483)*0.035+MAX(0,G483-E483*1.1)*0.05)</x:f>
        <x:v>6.518400000000184</x:v>
      </x:c>
      <x:c r="P483" s="74" t="n">
        <x:f>N483+O483</x:f>
        <x:v>821.3184000000002</x:v>
      </x:c>
      <x:c r="Q483" s="76" t="n">
        <x:f>IF(G483&lt;=0,0,P483/G483)</x:f>
        <x:v>0.012062913152496014</x:v>
      </x:c>
    </x:row>
    <x:row r="484">
      <x:c r="A484" s="56" t="str">
        <x:v>EMP041</x:v>
      </x:c>
      <x:c r="B484" s="56" t="str">
        <x:v>Mia O'Brien</x:v>
      </x:c>
      <x:c r="C484" s="56" t="str">
        <x:v>AE I</x:v>
      </x:c>
      <x:c r="D484" s="56" t="str">
        <x:v>2026-03</x:v>
      </x:c>
      <x:c r="E484" s="72" t="n">
        <x:v>77600</x:v>
      </x:c>
      <x:c r="F484" s="72" t="n">
        <x:v>69174.23</x:v>
      </x:c>
      <x:c r="G484" s="72" t="n">
        <x:v>68541.73999999999</x:v>
      </x:c>
      <x:c r="H484" s="72" t="n">
        <x:v>632.49</x:v>
      </x:c>
      <x:c r="I484" s="56" t="n">
        <x:v>0</x:v>
      </x:c>
      <x:c r="J484" s="56" t="n">
        <x:v>0</x:v>
      </x:c>
      <x:c r="K484" s="68" t="n">
        <x:f>IF(E484&lt;=0,"",G484/E484)</x:f>
        <x:v>0.8832698453608246</x:v>
      </x:c>
      <x:c r="L484" t="str">
        <x:f>IF(K484="","Not Calculated",IF(K484&lt;0.8,"Below 80%",IF(K484&lt;1,"80%-99.99%",IF(K484&lt;1.1,"100%-109.99%",IF(K484&lt;1.75,"110%-174.99%","175%+ Review")))))</x:f>
        <x:v>80%-99.99%</x:v>
      </x:c>
      <x:c r="M484" s="56" t="str">
        <x:v>Ready for Commission Calculation</x:v>
      </x:c>
      <x:c r="N484" s="74" t="n">
        <x:f>IF(E484&lt;=0,0,MIN(G484,E484*0.8)*0.01+MAX(0,MIN(G484,E484)-E484*0.8)*0.02)</x:f>
        <x:v>750.0347999999999</x:v>
      </x:c>
      <x:c r="O484" s="74" t="n">
        <x:f>IF(E484&lt;=0,0,MAX(0,MIN(G484,E484*1.1)-E484)*0.035+MAX(0,G484-E484*1.1)*0.05)</x:f>
        <x:v>0</x:v>
      </x:c>
      <x:c r="P484" s="74" t="n">
        <x:f>N484+O484</x:f>
        <x:v>750.0347999999999</x:v>
      </x:c>
      <x:c r="Q484" s="76" t="n">
        <x:f>IF(G484&lt;=0,0,P484/G484)</x:f>
        <x:v>0.010942745252746721</x:v>
      </x:c>
    </x:row>
    <x:row r="485">
      <x:c r="A485" s="56" t="str">
        <x:v>EMP041</x:v>
      </x:c>
      <x:c r="B485" s="56" t="str">
        <x:v>Mia O'Brien</x:v>
      </x:c>
      <x:c r="C485" s="56" t="str">
        <x:v>AE I</x:v>
      </x:c>
      <x:c r="D485" s="56" t="str">
        <x:v>2026-04</x:v>
      </x:c>
      <x:c r="E485" s="72" t="n">
        <x:v>77600</x:v>
      </x:c>
      <x:c r="F485" s="72" t="n">
        <x:v>75596.5</x:v>
      </x:c>
      <x:c r="G485" s="72" t="n">
        <x:v>75302.93000000001</x:v>
      </x:c>
      <x:c r="H485" s="72" t="n">
        <x:v>293.57</x:v>
      </x:c>
      <x:c r="I485" s="56" t="n">
        <x:v>0</x:v>
      </x:c>
      <x:c r="J485" s="56" t="n">
        <x:v>0</x:v>
      </x:c>
      <x:c r="K485" s="68" t="n">
        <x:f>IF(E485&lt;=0,"",G485/E485)</x:f>
        <x:v>0.970398582474227</x:v>
      </x:c>
      <x:c r="L485" t="str">
        <x:f>IF(K485="","Not Calculated",IF(K485&lt;0.8,"Below 80%",IF(K485&lt;1,"80%-99.99%",IF(K485&lt;1.1,"100%-109.99%",IF(K485&lt;1.75,"110%-174.99%","175%+ Review")))))</x:f>
        <x:v>80%-99.99%</x:v>
      </x:c>
      <x:c r="M485" s="56" t="str">
        <x:v>Ready for Commission Calculation</x:v>
      </x:c>
      <x:c r="N485" s="74" t="n">
        <x:f>IF(E485&lt;=0,0,MIN(G485,E485*0.8)*0.01+MAX(0,MIN(G485,E485)-E485*0.8)*0.02)</x:f>
        <x:v>885.2586000000002</x:v>
      </x:c>
      <x:c r="O485" s="74" t="n">
        <x:f>IF(E485&lt;=0,0,MAX(0,MIN(G485,E485*1.1)-E485)*0.035+MAX(0,G485-E485*1.1)*0.05)</x:f>
        <x:v>0</x:v>
      </x:c>
      <x:c r="P485" s="74" t="n">
        <x:f>N485+O485</x:f>
        <x:v>885.2586000000002</x:v>
      </x:c>
      <x:c r="Q485" s="76" t="n">
        <x:f>IF(G485&lt;=0,0,P485/G485)</x:f>
        <x:v>0.01175596487414235</x:v>
      </x:c>
    </x:row>
    <x:row r="486">
      <x:c r="A486" s="56" t="str">
        <x:v>EMP041</x:v>
      </x:c>
      <x:c r="B486" s="56" t="str">
        <x:v>Mia O'Brien</x:v>
      </x:c>
      <x:c r="C486" s="56" t="str">
        <x:v>AE I</x:v>
      </x:c>
      <x:c r="D486" s="56" t="str">
        <x:v>2026-05</x:v>
      </x:c>
      <x:c r="E486" s="72" t="n">
        <x:v>77600</x:v>
      </x:c>
      <x:c r="F486" s="72" t="n">
        <x:v>68201.98999999999</x:v>
      </x:c>
      <x:c r="G486" s="72" t="n">
        <x:v>68054.20999999999</x:v>
      </x:c>
      <x:c r="H486" s="72" t="n">
        <x:v>147.78</x:v>
      </x:c>
      <x:c r="I486" s="56" t="n">
        <x:v>0</x:v>
      </x:c>
      <x:c r="J486" s="56" t="n">
        <x:v>0</x:v>
      </x:c>
      <x:c r="K486" s="68" t="n">
        <x:f>IF(E486&lt;=0,"",G486/E486)</x:f>
        <x:v>0.8769872422680411</x:v>
      </x:c>
      <x:c r="L486" t="str">
        <x:f>IF(K486="","Not Calculated",IF(K486&lt;0.8,"Below 80%",IF(K486&lt;1,"80%-99.99%",IF(K486&lt;1.1,"100%-109.99%",IF(K486&lt;1.75,"110%-174.99%","175%+ Review")))))</x:f>
        <x:v>80%-99.99%</x:v>
      </x:c>
      <x:c r="M486" s="56" t="str">
        <x:v>Ready for Commission Calculation</x:v>
      </x:c>
      <x:c r="N486" s="74" t="n">
        <x:f>IF(E486&lt;=0,0,MIN(G486,E486*0.8)*0.01+MAX(0,MIN(G486,E486)-E486*0.8)*0.02)</x:f>
        <x:v>740.2841999999999</x:v>
      </x:c>
      <x:c r="O486" s="74" t="n">
        <x:f>IF(E486&lt;=0,0,MAX(0,MIN(G486,E486*1.1)-E486)*0.035+MAX(0,G486-E486*1.1)*0.05)</x:f>
        <x:v>0</x:v>
      </x:c>
      <x:c r="P486" s="74" t="n">
        <x:f>N486+O486</x:f>
        <x:v>740.2841999999999</x:v>
      </x:c>
      <x:c r="Q486" s="76" t="n">
        <x:f>IF(G486&lt;=0,0,P486/G486)</x:f>
        <x:v>0.01087786045859617</x:v>
      </x:c>
    </x:row>
    <x:row r="487">
      <x:c r="A487" s="56" t="str">
        <x:v>EMP041</x:v>
      </x:c>
      <x:c r="B487" s="56" t="str">
        <x:v>Mia O'Brien</x:v>
      </x:c>
      <x:c r="C487" s="56" t="str">
        <x:v>AE I</x:v>
      </x:c>
      <x:c r="D487" s="56" t="str">
        <x:v>2026-06</x:v>
      </x:c>
      <x:c r="E487" s="72" t="n">
        <x:v>87300</x:v>
      </x:c>
      <x:c r="F487" s="72" t="n">
        <x:v>86009.93000000001</x:v>
      </x:c>
      <x:c r="G487" s="72" t="n">
        <x:v>86009.93000000001</x:v>
      </x:c>
      <x:c r="H487" s="72" t="n">
        <x:v>0</x:v>
      </x:c>
      <x:c r="I487" s="56" t="n">
        <x:v>0</x:v>
      </x:c>
      <x:c r="J487" s="56" t="n">
        <x:v>0</x:v>
      </x:c>
      <x:c r="K487" s="68" t="n">
        <x:f>IF(E487&lt;=0,"",G487/E487)</x:f>
        <x:v>0.985222565864834</x:v>
      </x:c>
      <x:c r="L487" t="str">
        <x:f>IF(K487="","Not Calculated",IF(K487&lt;0.8,"Below 80%",IF(K487&lt;1,"80%-99.99%",IF(K487&lt;1.1,"100%-109.99%",IF(K487&lt;1.75,"110%-174.99%","175%+ Review")))))</x:f>
        <x:v>80%-99.99%</x:v>
      </x:c>
      <x:c r="M487" s="56" t="str">
        <x:v>Ready for Commission Calculation</x:v>
      </x:c>
      <x:c r="N487" s="74" t="n">
        <x:f>IF(E487&lt;=0,0,MIN(G487,E487*0.8)*0.01+MAX(0,MIN(G487,E487)-E487*0.8)*0.02)</x:f>
        <x:v>1021.7986000000001</x:v>
      </x:c>
      <x:c r="O487" s="74" t="n">
        <x:f>IF(E487&lt;=0,0,MAX(0,MIN(G487,E487*1.1)-E487)*0.035+MAX(0,G487-E487*1.1)*0.05)</x:f>
        <x:v>0</x:v>
      </x:c>
      <x:c r="P487" s="74" t="n">
        <x:f>N487+O487</x:f>
        <x:v>1021.7986000000001</x:v>
      </x:c>
      <x:c r="Q487" s="76" t="n">
        <x:f>IF(G487&lt;=0,0,P487/G487)</x:f>
        <x:v>0.011880007343338148</x:v>
      </x:c>
    </x:row>
    <x:row r="488">
      <x:c r="A488" s="56" t="str">
        <x:v>EMP041</x:v>
      </x:c>
      <x:c r="B488" s="56" t="str">
        <x:v>Mia O'Brien</x:v>
      </x:c>
      <x:c r="C488" s="56" t="str">
        <x:v>AE I</x:v>
      </x:c>
      <x:c r="D488" s="56" t="str">
        <x:v>2026-07</x:v>
      </x:c>
      <x:c r="E488" s="72" t="n">
        <x:v>67900</x:v>
      </x:c>
      <x:c r="F488" s="72" t="n">
        <x:v>61043.84000000001</x:v>
      </x:c>
      <x:c r="G488" s="72" t="n">
        <x:v>61043.84000000001</x:v>
      </x:c>
      <x:c r="H488" s="72" t="n">
        <x:v>0</x:v>
      </x:c>
      <x:c r="I488" s="56" t="n">
        <x:v>0</x:v>
      </x:c>
      <x:c r="J488" s="56" t="n">
        <x:v>0</x:v>
      </x:c>
      <x:c r="K488" s="68" t="n">
        <x:f>IF(E488&lt;=0,"",G488/E488)</x:f>
        <x:v>0.8990256259204714</x:v>
      </x:c>
      <x:c r="L488" t="str">
        <x:f>IF(K488="","Not Calculated",IF(K488&lt;0.8,"Below 80%",IF(K488&lt;1,"80%-99.99%",IF(K488&lt;1.1,"100%-109.99%",IF(K488&lt;1.75,"110%-174.99%","175%+ Review")))))</x:f>
        <x:v>80%-99.99%</x:v>
      </x:c>
      <x:c r="M488" s="56" t="str">
        <x:v>Ready for Commission Calculation</x:v>
      </x:c>
      <x:c r="N488" s="74" t="n">
        <x:f>IF(E488&lt;=0,0,MIN(G488,E488*0.8)*0.01+MAX(0,MIN(G488,E488)-E488*0.8)*0.02)</x:f>
        <x:v>677.6768000000003</x:v>
      </x:c>
      <x:c r="O488" s="74" t="n">
        <x:f>IF(E488&lt;=0,0,MAX(0,MIN(G488,E488*1.1)-E488)*0.035+MAX(0,G488-E488*1.1)*0.05)</x:f>
        <x:v>0</x:v>
      </x:c>
      <x:c r="P488" s="74" t="n">
        <x:f>N488+O488</x:f>
        <x:v>677.6768000000003</x:v>
      </x:c>
      <x:c r="Q488" s="76" t="n">
        <x:f>IF(G488&lt;=0,0,P488/G488)</x:f>
        <x:v>0.01110147723341127</x:v>
      </x:c>
    </x:row>
    <x:row r="489">
      <x:c r="A489" s="56" t="str">
        <x:v>EMP041</x:v>
      </x:c>
      <x:c r="B489" s="56" t="str">
        <x:v>Mia O'Brien</x:v>
      </x:c>
      <x:c r="C489" s="56" t="str">
        <x:v>AE I</x:v>
      </x:c>
      <x:c r="D489" s="56" t="str">
        <x:v>2026-08</x:v>
      </x:c>
      <x:c r="E489" s="72" t="n">
        <x:v>67900</x:v>
      </x:c>
      <x:c r="F489" s="72" t="n">
        <x:v>56976.9</x:v>
      </x:c>
      <x:c r="G489" s="72" t="n">
        <x:v>56976.9</x:v>
      </x:c>
      <x:c r="H489" s="72" t="n">
        <x:v>0</x:v>
      </x:c>
      <x:c r="I489" s="56" t="n">
        <x:v>0</x:v>
      </x:c>
      <x:c r="J489" s="56" t="n">
        <x:v>0</x:v>
      </x:c>
      <x:c r="K489" s="68" t="n">
        <x:f>IF(E489&lt;=0,"",G489/E489)</x:f>
        <x:v>0.8391296023564065</x:v>
      </x:c>
      <x:c r="L489" t="str">
        <x:f>IF(K489="","Not Calculated",IF(K489&lt;0.8,"Below 80%",IF(K489&lt;1,"80%-99.99%",IF(K489&lt;1.1,"100%-109.99%",IF(K489&lt;1.75,"110%-174.99%","175%+ Review")))))</x:f>
        <x:v>80%-99.99%</x:v>
      </x:c>
      <x:c r="M489" s="56" t="str">
        <x:v>Ready for Commission Calculation</x:v>
      </x:c>
      <x:c r="N489" s="74" t="n">
        <x:f>IF(E489&lt;=0,0,MIN(G489,E489*0.8)*0.01+MAX(0,MIN(G489,E489)-E489*0.8)*0.02)</x:f>
        <x:v>596.3380000000001</x:v>
      </x:c>
      <x:c r="O489" s="74" t="n">
        <x:f>IF(E489&lt;=0,0,MAX(0,MIN(G489,E489*1.1)-E489)*0.035+MAX(0,G489-E489*1.1)*0.05)</x:f>
        <x:v>0</x:v>
      </x:c>
      <x:c r="P489" s="74" t="n">
        <x:f>N489+O489</x:f>
        <x:v>596.3380000000001</x:v>
      </x:c>
      <x:c r="Q489" s="76" t="n">
        <x:f>IF(G489&lt;=0,0,P489/G489)</x:f>
        <x:v>0.010466311786004505</x:v>
      </x:c>
    </x:row>
    <x:row r="490">
      <x:c r="A490" s="56" t="str">
        <x:v>EMP041</x:v>
      </x:c>
      <x:c r="B490" s="56" t="str">
        <x:v>Mia O'Brien</x:v>
      </x:c>
      <x:c r="C490" s="56" t="str">
        <x:v>AE I</x:v>
      </x:c>
      <x:c r="D490" s="56" t="str">
        <x:v>2026-09</x:v>
      </x:c>
      <x:c r="E490" s="72" t="n">
        <x:v>97000</x:v>
      </x:c>
      <x:c r="F490" s="72" t="n">
        <x:v>93864.26999999999</x:v>
      </x:c>
      <x:c r="G490" s="72" t="n">
        <x:v>91913.06999999999</x:v>
      </x:c>
      <x:c r="H490" s="72" t="n">
        <x:v>1951.1999999999998</x:v>
      </x:c>
      <x:c r="I490" s="56" t="n">
        <x:v>0</x:v>
      </x:c>
      <x:c r="J490" s="56" t="n">
        <x:v>0</x:v>
      </x:c>
      <x:c r="K490" s="68" t="n">
        <x:f>IF(E490&lt;=0,"",G490/E490)</x:f>
        <x:v>0.9475574226804123</x:v>
      </x:c>
      <x:c r="L490" t="str">
        <x:f>IF(K490="","Not Calculated",IF(K490&lt;0.8,"Below 80%",IF(K490&lt;1,"80%-99.99%",IF(K490&lt;1.1,"100%-109.99%",IF(K490&lt;1.75,"110%-174.99%","175%+ Review")))))</x:f>
        <x:v>80%-99.99%</x:v>
      </x:c>
      <x:c r="M490" s="56" t="str">
        <x:v>Ready for Commission Calculation</x:v>
      </x:c>
      <x:c r="N490" s="74" t="n">
        <x:f>IF(E490&lt;=0,0,MIN(G490,E490*0.8)*0.01+MAX(0,MIN(G490,E490)-E490*0.8)*0.02)</x:f>
        <x:v>1062.2613999999999</x:v>
      </x:c>
      <x:c r="O490" s="74" t="n">
        <x:f>IF(E490&lt;=0,0,MAX(0,MIN(G490,E490*1.1)-E490)*0.035+MAX(0,G490-E490*1.1)*0.05)</x:f>
        <x:v>0</x:v>
      </x:c>
      <x:c r="P490" s="74" t="n">
        <x:f>N490+O490</x:f>
        <x:v>1062.2613999999999</x:v>
      </x:c>
      <x:c r="Q490" s="76" t="n">
        <x:f>IF(G490&lt;=0,0,P490/G490)</x:f>
        <x:v>0.011557239900701826</x:v>
      </x:c>
    </x:row>
    <x:row r="491">
      <x:c r="A491" s="56" t="str">
        <x:v>EMP041</x:v>
      </x:c>
      <x:c r="B491" s="56" t="str">
        <x:v>Mia O'Brien</x:v>
      </x:c>
      <x:c r="C491" s="56" t="str">
        <x:v>AE I</x:v>
      </x:c>
      <x:c r="D491" s="56" t="str">
        <x:v>2026-10</x:v>
      </x:c>
      <x:c r="E491" s="72" t="n">
        <x:v>97000</x:v>
      </x:c>
      <x:c r="F491" s="72" t="n">
        <x:v>96687.09000000001</x:v>
      </x:c>
      <x:c r="G491" s="72" t="n">
        <x:v>96410.42</x:v>
      </x:c>
      <x:c r="H491" s="72" t="n">
        <x:v>276.67</x:v>
      </x:c>
      <x:c r="I491" s="56" t="n">
        <x:v>0</x:v>
      </x:c>
      <x:c r="J491" s="56" t="n">
        <x:v>0</x:v>
      </x:c>
      <x:c r="K491" s="68" t="n">
        <x:f>IF(E491&lt;=0,"",G491/E491)</x:f>
        <x:v>0.993921855670103</x:v>
      </x:c>
      <x:c r="L491" t="str">
        <x:f>IF(K491="","Not Calculated",IF(K491&lt;0.8,"Below 80%",IF(K491&lt;1,"80%-99.99%",IF(K491&lt;1.1,"100%-109.99%",IF(K491&lt;1.75,"110%-174.99%","175%+ Review")))))</x:f>
        <x:v>80%-99.99%</x:v>
      </x:c>
      <x:c r="M491" s="56" t="str">
        <x:v>Ready for Commission Calculation</x:v>
      </x:c>
      <x:c r="N491" s="74" t="n">
        <x:f>IF(E491&lt;=0,0,MIN(G491,E491*0.8)*0.01+MAX(0,MIN(G491,E491)-E491*0.8)*0.02)</x:f>
        <x:v>1152.2084</x:v>
      </x:c>
      <x:c r="O491" s="74" t="n">
        <x:f>IF(E491&lt;=0,0,MAX(0,MIN(G491,E491*1.1)-E491)*0.035+MAX(0,G491-E491*1.1)*0.05)</x:f>
        <x:v>0</x:v>
      </x:c>
      <x:c r="P491" s="74" t="n">
        <x:f>N491+O491</x:f>
        <x:v>1152.2084</x:v>
      </x:c>
      <x:c r="Q491" s="76" t="n">
        <x:f>IF(G491&lt;=0,0,P491/G491)</x:f>
        <x:v>0.011951077487267455</x:v>
      </x:c>
    </x:row>
    <x:row r="492">
      <x:c r="A492" s="56" t="str">
        <x:v>EMP041</x:v>
      </x:c>
      <x:c r="B492" s="56" t="str">
        <x:v>Mia O'Brien</x:v>
      </x:c>
      <x:c r="C492" s="56" t="str">
        <x:v>AE I</x:v>
      </x:c>
      <x:c r="D492" s="56" t="str">
        <x:v>2026-11</x:v>
      </x:c>
      <x:c r="E492" s="72" t="n">
        <x:v>87300</x:v>
      </x:c>
      <x:c r="F492" s="72" t="n">
        <x:v>83764.92000000001</x:v>
      </x:c>
      <x:c r="G492" s="72" t="n">
        <x:v>83764.92000000001</x:v>
      </x:c>
      <x:c r="H492" s="72" t="n">
        <x:v>0</x:v>
      </x:c>
      <x:c r="I492" s="56" t="n">
        <x:v>0</x:v>
      </x:c>
      <x:c r="J492" s="56" t="n">
        <x:v>0</x:v>
      </x:c>
      <x:c r="K492" s="68" t="n">
        <x:f>IF(E492&lt;=0,"",G492/E492)</x:f>
        <x:v>0.9595065292096221</x:v>
      </x:c>
      <x:c r="L492" t="str">
        <x:f>IF(K492="","Not Calculated",IF(K492&lt;0.8,"Below 80%",IF(K492&lt;1,"80%-99.99%",IF(K492&lt;1.1,"100%-109.99%",IF(K492&lt;1.75,"110%-174.99%","175%+ Review")))))</x:f>
        <x:v>80%-99.99%</x:v>
      </x:c>
      <x:c r="M492" s="56" t="str">
        <x:v>Ready for Commission Calculation</x:v>
      </x:c>
      <x:c r="N492" s="74" t="n">
        <x:f>IF(E492&lt;=0,0,MIN(G492,E492*0.8)*0.01+MAX(0,MIN(G492,E492)-E492*0.8)*0.02)</x:f>
        <x:v>976.8984000000003</x:v>
      </x:c>
      <x:c r="O492" s="74" t="n">
        <x:f>IF(E492&lt;=0,0,MAX(0,MIN(G492,E492*1.1)-E492)*0.035+MAX(0,G492-E492*1.1)*0.05)</x:f>
        <x:v>0</x:v>
      </x:c>
      <x:c r="P492" s="74" t="n">
        <x:f>N492+O492</x:f>
        <x:v>976.8984000000003</x:v>
      </x:c>
      <x:c r="Q492" s="76" t="n">
        <x:f>IF(G492&lt;=0,0,P492/G492)</x:f>
        <x:v>0.011662380863015211</x:v>
      </x:c>
    </x:row>
    <x:row r="493">
      <x:c r="A493" s="56" t="str">
        <x:v>EMP041</x:v>
      </x:c>
      <x:c r="B493" s="56" t="str">
        <x:v>Mia O'Brien</x:v>
      </x:c>
      <x:c r="C493" s="56" t="str">
        <x:v>AE I</x:v>
      </x:c>
      <x:c r="D493" s="56" t="str">
        <x:v>2026-12</x:v>
      </x:c>
      <x:c r="E493" s="72" t="n">
        <x:v>97000</x:v>
      </x:c>
      <x:c r="F493" s="72" t="n">
        <x:v>93785.95</x:v>
      </x:c>
      <x:c r="G493" s="72" t="n">
        <x:v>92806.31000000001</x:v>
      </x:c>
      <x:c r="H493" s="72" t="n">
        <x:v>979.64</x:v>
      </x:c>
      <x:c r="I493" s="56" t="n">
        <x:v>0</x:v>
      </x:c>
      <x:c r="J493" s="56" t="n">
        <x:v>0</x:v>
      </x:c>
      <x:c r="K493" s="68" t="n">
        <x:f>IF(E493&lt;=0,"",G493/E493)</x:f>
        <x:v>0.9567660824742269</x:v>
      </x:c>
      <x:c r="L493" t="str">
        <x:f>IF(K493="","Not Calculated",IF(K493&lt;0.8,"Below 80%",IF(K493&lt;1,"80%-99.99%",IF(K493&lt;1.1,"100%-109.99%",IF(K493&lt;1.75,"110%-174.99%","175%+ Review")))))</x:f>
        <x:v>80%-99.99%</x:v>
      </x:c>
      <x:c r="M493" s="56" t="str">
        <x:v>Ready for Commission Calculation</x:v>
      </x:c>
      <x:c r="N493" s="74" t="n">
        <x:f>IF(E493&lt;=0,0,MIN(G493,E493*0.8)*0.01+MAX(0,MIN(G493,E493)-E493*0.8)*0.02)</x:f>
        <x:v>1080.1262000000002</x:v>
      </x:c>
      <x:c r="O493" s="74" t="n">
        <x:f>IF(E493&lt;=0,0,MAX(0,MIN(G493,E493*1.1)-E493)*0.035+MAX(0,G493-E493*1.1)*0.05)</x:f>
        <x:v>0</x:v>
      </x:c>
      <x:c r="P493" s="74" t="n">
        <x:f>N493+O493</x:f>
        <x:v>1080.1262000000002</x:v>
      </x:c>
      <x:c r="Q493" s="76" t="n">
        <x:f>IF(G493&lt;=0,0,P493/G493)</x:f>
        <x:v>0.011638499580470337</x:v>
      </x:c>
    </x:row>
    <x:row r="494">
      <x:c r="A494" s="56" t="str">
        <x:v>EMP042</x:v>
      </x:c>
      <x:c r="B494" s="56" t="str">
        <x:v>Ben Sullivan</x:v>
      </x:c>
      <x:c r="C494" s="56" t="str">
        <x:v>AE II</x:v>
      </x:c>
      <x:c r="D494" s="56" t="str">
        <x:v>2026-01</x:v>
      </x:c>
      <x:c r="E494" s="72" t="n">
        <x:v>100100.00000000001</x:v>
      </x:c>
      <x:c r="F494" s="72" t="n">
        <x:v>85887.83999999998</x:v>
      </x:c>
      <x:c r="G494" s="72" t="n">
        <x:v>84754.15999999999</x:v>
      </x:c>
      <x:c r="H494" s="72" t="n">
        <x:v>1133.6799999999998</x:v>
      </x:c>
      <x:c r="I494" s="56" t="n">
        <x:v>0</x:v>
      </x:c>
      <x:c r="J494" s="56" t="n">
        <x:v>0</x:v>
      </x:c>
      <x:c r="K494" s="68" t="n">
        <x:f>IF(E494&lt;=0,"",G494/E494)</x:f>
        <x:v>0.8466949050949049</x:v>
      </x:c>
      <x:c r="L494" t="str">
        <x:f>IF(K494="","Not Calculated",IF(K494&lt;0.8,"Below 80%",IF(K494&lt;1,"80%-99.99%",IF(K494&lt;1.1,"100%-109.99%",IF(K494&lt;1.75,"110%-174.99%","175%+ Review")))))</x:f>
        <x:v>80%-99.99%</x:v>
      </x:c>
      <x:c r="M494" s="56" t="str">
        <x:v>Ready for Commission Calculation</x:v>
      </x:c>
      <x:c r="N494" s="74" t="n">
        <x:f>IF(E494&lt;=0,0,MIN(G494,E494*0.8)*0.01+MAX(0,MIN(G494,E494)-E494*0.8)*0.02)</x:f>
        <x:v>894.2831999999996</x:v>
      </x:c>
      <x:c r="O494" s="74" t="n">
        <x:f>IF(E494&lt;=0,0,MAX(0,MIN(G494,E494*1.1)-E494)*0.035+MAX(0,G494-E494*1.1)*0.05)</x:f>
        <x:v>0</x:v>
      </x:c>
      <x:c r="P494" s="74" t="n">
        <x:f>N494+O494</x:f>
        <x:v>894.2831999999996</x:v>
      </x:c>
      <x:c r="Q494" s="76" t="n">
        <x:f>IF(G494&lt;=0,0,P494/G494)</x:f>
        <x:v>0.010551496233341227</x:v>
      </x:c>
    </x:row>
    <x:row r="495">
      <x:c r="A495" s="56" t="str">
        <x:v>EMP042</x:v>
      </x:c>
      <x:c r="B495" s="56" t="str">
        <x:v>Ben Sullivan</x:v>
      </x:c>
      <x:c r="C495" s="56" t="str">
        <x:v>AE II</x:v>
      </x:c>
      <x:c r="D495" s="56" t="str">
        <x:v>2026-02</x:v>
      </x:c>
      <x:c r="E495" s="72" t="n">
        <x:v>100100.00000000001</x:v>
      </x:c>
      <x:c r="F495" s="72" t="n">
        <x:v>76234.95000000001</x:v>
      </x:c>
      <x:c r="G495" s="72" t="n">
        <x:v>75400.41</x:v>
      </x:c>
      <x:c r="H495" s="72" t="n">
        <x:v>834.54</x:v>
      </x:c>
      <x:c r="I495" s="56" t="n">
        <x:v>0</x:v>
      </x:c>
      <x:c r="J495" s="56" t="n">
        <x:v>0</x:v>
      </x:c>
      <x:c r="K495" s="68" t="n">
        <x:f>IF(E495&lt;=0,"",G495/E495)</x:f>
        <x:v>0.7532508491508491</x:v>
      </x:c>
      <x:c r="L495" t="str">
        <x:f>IF(K495="","Not Calculated",IF(K495&lt;0.8,"Below 80%",IF(K495&lt;1,"80%-99.99%",IF(K495&lt;1.1,"100%-109.99%",IF(K495&lt;1.75,"110%-174.99%","175%+ Review")))))</x:f>
        <x:v>Below 80%</x:v>
      </x:c>
      <x:c r="M495" s="56" t="str">
        <x:v>Ready for Commission Calculation</x:v>
      </x:c>
      <x:c r="N495" s="74" t="n">
        <x:f>IF(E495&lt;=0,0,MIN(G495,E495*0.8)*0.01+MAX(0,MIN(G495,E495)-E495*0.8)*0.02)</x:f>
        <x:v>754.0041</x:v>
      </x:c>
      <x:c r="O495" s="74" t="n">
        <x:f>IF(E495&lt;=0,0,MAX(0,MIN(G495,E495*1.1)-E495)*0.035+MAX(0,G495-E495*1.1)*0.05)</x:f>
        <x:v>0</x:v>
      </x:c>
      <x:c r="P495" s="74" t="n">
        <x:f>N495+O495</x:f>
        <x:v>754.0041</x:v>
      </x:c>
      <x:c r="Q495" s="76" t="n">
        <x:f>IF(G495&lt;=0,0,P495/G495)</x:f>
        <x:v>0.01</x:v>
      </x:c>
    </x:row>
    <x:row r="496">
      <x:c r="A496" s="56" t="str">
        <x:v>EMP042</x:v>
      </x:c>
      <x:c r="B496" s="56" t="str">
        <x:v>Ben Sullivan</x:v>
      </x:c>
      <x:c r="C496" s="56" t="str">
        <x:v>AE II</x:v>
      </x:c>
      <x:c r="D496" s="56" t="str">
        <x:v>2026-03</x:v>
      </x:c>
      <x:c r="E496" s="72" t="n">
        <x:v>114400</x:v>
      </x:c>
      <x:c r="F496" s="72" t="n">
        <x:v>76187</x:v>
      </x:c>
      <x:c r="G496" s="72" t="n">
        <x:v>75372.1</x:v>
      </x:c>
      <x:c r="H496" s="72" t="n">
        <x:v>814.9</x:v>
      </x:c>
      <x:c r="I496" s="56" t="n">
        <x:v>0</x:v>
      </x:c>
      <x:c r="J496" s="56" t="n">
        <x:v>0</x:v>
      </x:c>
      <x:c r="K496" s="68" t="n">
        <x:f>IF(E496&lt;=0,"",G496/E496)</x:f>
        <x:v>0.658847027972028</x:v>
      </x:c>
      <x:c r="L496" t="str">
        <x:f>IF(K496="","Not Calculated",IF(K496&lt;0.8,"Below 80%",IF(K496&lt;1,"80%-99.99%",IF(K496&lt;1.1,"100%-109.99%",IF(K496&lt;1.75,"110%-174.99%","175%+ Review")))))</x:f>
        <x:v>Below 80%</x:v>
      </x:c>
      <x:c r="M496" s="56" t="str">
        <x:v>Ready for Commission Calculation</x:v>
      </x:c>
      <x:c r="N496" s="74" t="n">
        <x:f>IF(E496&lt;=0,0,MIN(G496,E496*0.8)*0.01+MAX(0,MIN(G496,E496)-E496*0.8)*0.02)</x:f>
        <x:v>753.7210000000001</x:v>
      </x:c>
      <x:c r="O496" s="74" t="n">
        <x:f>IF(E496&lt;=0,0,MAX(0,MIN(G496,E496*1.1)-E496)*0.035+MAX(0,G496-E496*1.1)*0.05)</x:f>
        <x:v>0</x:v>
      </x:c>
      <x:c r="P496" s="74" t="n">
        <x:f>N496+O496</x:f>
        <x:v>753.7210000000001</x:v>
      </x:c>
      <x:c r="Q496" s="76" t="n">
        <x:f>IF(G496&lt;=0,0,P496/G496)</x:f>
        <x:v>0.01</x:v>
      </x:c>
    </x:row>
    <x:row r="497">
      <x:c r="A497" s="56" t="str">
        <x:v>EMP042</x:v>
      </x:c>
      <x:c r="B497" s="56" t="str">
        <x:v>Ben Sullivan</x:v>
      </x:c>
      <x:c r="C497" s="56" t="str">
        <x:v>AE II</x:v>
      </x:c>
      <x:c r="D497" s="56" t="str">
        <x:v>2026-04</x:v>
      </x:c>
      <x:c r="E497" s="72" t="n">
        <x:v>114400</x:v>
      </x:c>
      <x:c r="F497" s="72" t="n">
        <x:v>87368.32</x:v>
      </x:c>
      <x:c r="G497" s="72" t="n">
        <x:v>86879.02</x:v>
      </x:c>
      <x:c r="H497" s="72" t="n">
        <x:v>489.29999999999995</x:v>
      </x:c>
      <x:c r="I497" s="56" t="n">
        <x:v>0</x:v>
      </x:c>
      <x:c r="J497" s="56" t="n">
        <x:v>0</x:v>
      </x:c>
      <x:c r="K497" s="68" t="n">
        <x:f>IF(E497&lt;=0,"",G497/E497)</x:f>
        <x:v>0.759431993006993</x:v>
      </x:c>
      <x:c r="L497" t="str">
        <x:f>IF(K497="","Not Calculated",IF(K497&lt;0.8,"Below 80%",IF(K497&lt;1,"80%-99.99%",IF(K497&lt;1.1,"100%-109.99%",IF(K497&lt;1.75,"110%-174.99%","175%+ Review")))))</x:f>
        <x:v>Below 80%</x:v>
      </x:c>
      <x:c r="M497" s="56" t="str">
        <x:v>Ready for Commission Calculation</x:v>
      </x:c>
      <x:c r="N497" s="74" t="n">
        <x:f>IF(E497&lt;=0,0,MIN(G497,E497*0.8)*0.01+MAX(0,MIN(G497,E497)-E497*0.8)*0.02)</x:f>
        <x:v>868.7902</x:v>
      </x:c>
      <x:c r="O497" s="74" t="n">
        <x:f>IF(E497&lt;=0,0,MAX(0,MIN(G497,E497*1.1)-E497)*0.035+MAX(0,G497-E497*1.1)*0.05)</x:f>
        <x:v>0</x:v>
      </x:c>
      <x:c r="P497" s="74" t="n">
        <x:f>N497+O497</x:f>
        <x:v>868.7902</x:v>
      </x:c>
      <x:c r="Q497" s="76" t="n">
        <x:f>IF(G497&lt;=0,0,P497/G497)</x:f>
        <x:v>0.01</x:v>
      </x:c>
    </x:row>
    <x:row r="498">
      <x:c r="A498" s="56" t="str">
        <x:v>EMP042</x:v>
      </x:c>
      <x:c r="B498" s="56" t="str">
        <x:v>Ben Sullivan</x:v>
      </x:c>
      <x:c r="C498" s="56" t="str">
        <x:v>AE II</x:v>
      </x:c>
      <x:c r="D498" s="56" t="str">
        <x:v>2026-05</x:v>
      </x:c>
      <x:c r="E498" s="72" t="n">
        <x:v>114400</x:v>
      </x:c>
      <x:c r="F498" s="72" t="n">
        <x:v>91934.29999999999</x:v>
      </x:c>
      <x:c r="G498" s="72" t="n">
        <x:v>91584.93</x:v>
      </x:c>
      <x:c r="H498" s="72" t="n">
        <x:v>349.37</x:v>
      </x:c>
      <x:c r="I498" s="56" t="n">
        <x:v>0</x:v>
      </x:c>
      <x:c r="J498" s="56" t="n">
        <x:v>0</x:v>
      </x:c>
      <x:c r="K498" s="68" t="n">
        <x:f>IF(E498&lt;=0,"",G498/E498)</x:f>
        <x:v>0.8005675699300698</x:v>
      </x:c>
      <x:c r="L498" t="str">
        <x:f>IF(K498="","Not Calculated",IF(K498&lt;0.8,"Below 80%",IF(K498&lt;1,"80%-99.99%",IF(K498&lt;1.1,"100%-109.99%",IF(K498&lt;1.75,"110%-174.99%","175%+ Review")))))</x:f>
        <x:v>80%-99.99%</x:v>
      </x:c>
      <x:c r="M498" s="56" t="str">
        <x:v>Ready for Commission Calculation</x:v>
      </x:c>
      <x:c r="N498" s="74" t="n">
        <x:f>IF(E498&lt;=0,0,MIN(G498,E498*0.8)*0.01+MAX(0,MIN(G498,E498)-E498*0.8)*0.02)</x:f>
        <x:v>916.4985999999999</x:v>
      </x:c>
      <x:c r="O498" s="74" t="n">
        <x:f>IF(E498&lt;=0,0,MAX(0,MIN(G498,E498*1.1)-E498)*0.035+MAX(0,G498-E498*1.1)*0.05)</x:f>
        <x:v>0</x:v>
      </x:c>
      <x:c r="P498" s="74" t="n">
        <x:f>N498+O498</x:f>
        <x:v>916.4985999999999</x:v>
      </x:c>
      <x:c r="Q498" s="76" t="n">
        <x:f>IF(G498&lt;=0,0,P498/G498)</x:f>
        <x:v>0.01000708959432518</x:v>
      </x:c>
    </x:row>
    <x:row r="499">
      <x:c r="A499" s="56" t="str">
        <x:v>EMP042</x:v>
      </x:c>
      <x:c r="B499" s="56" t="str">
        <x:v>Ben Sullivan</x:v>
      </x:c>
      <x:c r="C499" s="56" t="str">
        <x:v>AE II</x:v>
      </x:c>
      <x:c r="D499" s="56" t="str">
        <x:v>2026-06</x:v>
      </x:c>
      <x:c r="E499" s="72" t="n">
        <x:v>128700</x:v>
      </x:c>
      <x:c r="F499" s="72" t="n">
        <x:v>100362.97</x:v>
      </x:c>
      <x:c r="G499" s="72" t="n">
        <x:v>100362.97</x:v>
      </x:c>
      <x:c r="H499" s="72" t="n">
        <x:v>0</x:v>
      </x:c>
      <x:c r="I499" s="56" t="n">
        <x:v>0</x:v>
      </x:c>
      <x:c r="J499" s="56" t="n">
        <x:v>0</x:v>
      </x:c>
      <x:c r="K499" s="68" t="n">
        <x:f>IF(E499&lt;=0,"",G499/E499)</x:f>
        <x:v>0.7798210567210567</x:v>
      </x:c>
      <x:c r="L499" t="str">
        <x:f>IF(K499="","Not Calculated",IF(K499&lt;0.8,"Below 80%",IF(K499&lt;1,"80%-99.99%",IF(K499&lt;1.1,"100%-109.99%",IF(K499&lt;1.75,"110%-174.99%","175%+ Review")))))</x:f>
        <x:v>Below 80%</x:v>
      </x:c>
      <x:c r="M499" s="56" t="str">
        <x:v>Ready for Commission Calculation</x:v>
      </x:c>
      <x:c r="N499" s="74" t="n">
        <x:f>IF(E499&lt;=0,0,MIN(G499,E499*0.8)*0.01+MAX(0,MIN(G499,E499)-E499*0.8)*0.02)</x:f>
        <x:v>1003.6297000000001</x:v>
      </x:c>
      <x:c r="O499" s="74" t="n">
        <x:f>IF(E499&lt;=0,0,MAX(0,MIN(G499,E499*1.1)-E499)*0.035+MAX(0,G499-E499*1.1)*0.05)</x:f>
        <x:v>0</x:v>
      </x:c>
      <x:c r="P499" s="74" t="n">
        <x:f>N499+O499</x:f>
        <x:v>1003.6297000000001</x:v>
      </x:c>
      <x:c r="Q499" s="76" t="n">
        <x:f>IF(G499&lt;=0,0,P499/G499)</x:f>
        <x:v>0.01</x:v>
      </x:c>
    </x:row>
    <x:row r="500">
      <x:c r="A500" s="56" t="str">
        <x:v>EMP042</x:v>
      </x:c>
      <x:c r="B500" s="56" t="str">
        <x:v>Ben Sullivan</x:v>
      </x:c>
      <x:c r="C500" s="56" t="str">
        <x:v>AE II</x:v>
      </x:c>
      <x:c r="D500" s="56" t="str">
        <x:v>2026-07</x:v>
      </x:c>
      <x:c r="E500" s="72" t="n">
        <x:v>100100.00000000001</x:v>
      </x:c>
      <x:c r="F500" s="72" t="n">
        <x:v>92596.98000000001</x:v>
      </x:c>
      <x:c r="G500" s="72" t="n">
        <x:v>90426.73000000001</x:v>
      </x:c>
      <x:c r="H500" s="72" t="n">
        <x:v>2170.25</x:v>
      </x:c>
      <x:c r="I500" s="56" t="n">
        <x:v>0</x:v>
      </x:c>
      <x:c r="J500" s="56" t="n">
        <x:v>0</x:v>
      </x:c>
      <x:c r="K500" s="68" t="n">
        <x:f>IF(E500&lt;=0,"",G500/E500)</x:f>
        <x:v>0.9033639360639361</x:v>
      </x:c>
      <x:c r="L500" t="str">
        <x:f>IF(K500="","Not Calculated",IF(K500&lt;0.8,"Below 80%",IF(K500&lt;1,"80%-99.99%",IF(K500&lt;1.1,"100%-109.99%",IF(K500&lt;1.75,"110%-174.99%","175%+ Review")))))</x:f>
        <x:v>80%-99.99%</x:v>
      </x:c>
      <x:c r="M500" s="56" t="str">
        <x:v>Ready for Commission Calculation</x:v>
      </x:c>
      <x:c r="N500" s="74" t="n">
        <x:f>IF(E500&lt;=0,0,MIN(G500,E500*0.8)*0.01+MAX(0,MIN(G500,E500)-E500*0.8)*0.02)</x:f>
        <x:v>1007.7346000000001</x:v>
      </x:c>
      <x:c r="O500" s="74" t="n">
        <x:f>IF(E500&lt;=0,0,MAX(0,MIN(G500,E500*1.1)-E500)*0.035+MAX(0,G500-E500*1.1)*0.05)</x:f>
        <x:v>0</x:v>
      </x:c>
      <x:c r="P500" s="74" t="n">
        <x:f>N500+O500</x:f>
        <x:v>1007.7346000000001</x:v>
      </x:c>
      <x:c r="Q500" s="76" t="n">
        <x:f>IF(G500&lt;=0,0,P500/G500)</x:f>
        <x:v>0.011144211451636037</x:v>
      </x:c>
    </x:row>
    <x:row r="501">
      <x:c r="A501" s="56" t="str">
        <x:v>EMP042</x:v>
      </x:c>
      <x:c r="B501" s="56" t="str">
        <x:v>Ben Sullivan</x:v>
      </x:c>
      <x:c r="C501" s="56" t="str">
        <x:v>AE II</x:v>
      </x:c>
      <x:c r="D501" s="56" t="str">
        <x:v>2026-08</x:v>
      </x:c>
      <x:c r="E501" s="72" t="n">
        <x:v>100100.00000000001</x:v>
      </x:c>
      <x:c r="F501" s="72" t="n">
        <x:v>73956</x:v>
      </x:c>
      <x:c r="G501" s="72" t="n">
        <x:v>73956</x:v>
      </x:c>
      <x:c r="H501" s="72" t="n">
        <x:v>0</x:v>
      </x:c>
      <x:c r="I501" s="56" t="n">
        <x:v>0</x:v>
      </x:c>
      <x:c r="J501" s="56" t="n">
        <x:v>0</x:v>
      </x:c>
      <x:c r="K501" s="68" t="n">
        <x:f>IF(E501&lt;=0,"",G501/E501)</x:f>
        <x:v>0.7388211788211787</x:v>
      </x:c>
      <x:c r="L501" t="str">
        <x:f>IF(K501="","Not Calculated",IF(K501&lt;0.8,"Below 80%",IF(K501&lt;1,"80%-99.99%",IF(K501&lt;1.1,"100%-109.99%",IF(K501&lt;1.75,"110%-174.99%","175%+ Review")))))</x:f>
        <x:v>Below 80%</x:v>
      </x:c>
      <x:c r="M501" s="56" t="str">
        <x:v>Ready for Commission Calculation</x:v>
      </x:c>
      <x:c r="N501" s="74" t="n">
        <x:f>IF(E501&lt;=0,0,MIN(G501,E501*0.8)*0.01+MAX(0,MIN(G501,E501)-E501*0.8)*0.02)</x:f>
        <x:v>739.5600000000001</x:v>
      </x:c>
      <x:c r="O501" s="74" t="n">
        <x:f>IF(E501&lt;=0,0,MAX(0,MIN(G501,E501*1.1)-E501)*0.035+MAX(0,G501-E501*1.1)*0.05)</x:f>
        <x:v>0</x:v>
      </x:c>
      <x:c r="P501" s="74" t="n">
        <x:f>N501+O501</x:f>
        <x:v>739.5600000000001</x:v>
      </x:c>
      <x:c r="Q501" s="76" t="n">
        <x:f>IF(G501&lt;=0,0,P501/G501)</x:f>
        <x:v>0.01</x:v>
      </x:c>
    </x:row>
    <x:row r="502">
      <x:c r="A502" s="56" t="str">
        <x:v>EMP042</x:v>
      </x:c>
      <x:c r="B502" s="56" t="str">
        <x:v>Ben Sullivan</x:v>
      </x:c>
      <x:c r="C502" s="56" t="str">
        <x:v>AE II</x:v>
      </x:c>
      <x:c r="D502" s="56" t="str">
        <x:v>2026-09</x:v>
      </x:c>
      <x:c r="E502" s="72" t="n">
        <x:v>143000</x:v>
      </x:c>
      <x:c r="F502" s="72" t="n">
        <x:v>129927.67</x:v>
      </x:c>
      <x:c r="G502" s="72" t="n">
        <x:v>129502.06</x:v>
      </x:c>
      <x:c r="H502" s="72" t="n">
        <x:v>425.61</x:v>
      </x:c>
      <x:c r="I502" s="56" t="n">
        <x:v>0</x:v>
      </x:c>
      <x:c r="J502" s="56" t="n">
        <x:v>0</x:v>
      </x:c>
      <x:c r="K502" s="68" t="n">
        <x:f>IF(E502&lt;=0,"",G502/E502)</x:f>
        <x:v>0.9056088111888112</x:v>
      </x:c>
      <x:c r="L502" t="str">
        <x:f>IF(K502="","Not Calculated",IF(K502&lt;0.8,"Below 80%",IF(K502&lt;1,"80%-99.99%",IF(K502&lt;1.1,"100%-109.99%",IF(K502&lt;1.75,"110%-174.99%","175%+ Review")))))</x:f>
        <x:v>80%-99.99%</x:v>
      </x:c>
      <x:c r="M502" s="56" t="str">
        <x:v>Ready for Commission Calculation</x:v>
      </x:c>
      <x:c r="N502" s="74" t="n">
        <x:f>IF(E502&lt;=0,0,MIN(G502,E502*0.8)*0.01+MAX(0,MIN(G502,E502)-E502*0.8)*0.02)</x:f>
        <x:v>1446.0412</x:v>
      </x:c>
      <x:c r="O502" s="74" t="n">
        <x:f>IF(E502&lt;=0,0,MAX(0,MIN(G502,E502*1.1)-E502)*0.035+MAX(0,G502-E502*1.1)*0.05)</x:f>
        <x:v>0</x:v>
      </x:c>
      <x:c r="P502" s="74" t="n">
        <x:f>N502+O502</x:f>
        <x:v>1446.0412</x:v>
      </x:c>
      <x:c r="Q502" s="76" t="n">
        <x:f>IF(G502&lt;=0,0,P502/G502)</x:f>
        <x:v>0.011166163688824718</x:v>
      </x:c>
    </x:row>
    <x:row r="503">
      <x:c r="A503" s="56" t="str">
        <x:v>EMP042</x:v>
      </x:c>
      <x:c r="B503" s="56" t="str">
        <x:v>Ben Sullivan</x:v>
      </x:c>
      <x:c r="C503" s="56" t="str">
        <x:v>AE II</x:v>
      </x:c>
      <x:c r="D503" s="56" t="str">
        <x:v>2026-10</x:v>
      </x:c>
      <x:c r="E503" s="72" t="n">
        <x:v>143000</x:v>
      </x:c>
      <x:c r="F503" s="72" t="n">
        <x:v>112137.29999999999</x:v>
      </x:c>
      <x:c r="G503" s="72" t="n">
        <x:v>111734.99</x:v>
      </x:c>
      <x:c r="H503" s="72" t="n">
        <x:v>402.31</x:v>
      </x:c>
      <x:c r="I503" s="56" t="n">
        <x:v>0</x:v>
      </x:c>
      <x:c r="J503" s="56" t="n">
        <x:v>0</x:v>
      </x:c>
      <x:c r="K503" s="68" t="n">
        <x:f>IF(E503&lt;=0,"",G503/E503)</x:f>
        <x:v>0.7813635664335665</x:v>
      </x:c>
      <x:c r="L503" t="str">
        <x:f>IF(K503="","Not Calculated",IF(K503&lt;0.8,"Below 80%",IF(K503&lt;1,"80%-99.99%",IF(K503&lt;1.1,"100%-109.99%",IF(K503&lt;1.75,"110%-174.99%","175%+ Review")))))</x:f>
        <x:v>Below 80%</x:v>
      </x:c>
      <x:c r="M503" s="56" t="str">
        <x:v>Ready for Commission Calculation</x:v>
      </x:c>
      <x:c r="N503" s="74" t="n">
        <x:f>IF(E503&lt;=0,0,MIN(G503,E503*0.8)*0.01+MAX(0,MIN(G503,E503)-E503*0.8)*0.02)</x:f>
        <x:v>1117.3499000000002</x:v>
      </x:c>
      <x:c r="O503" s="74" t="n">
        <x:f>IF(E503&lt;=0,0,MAX(0,MIN(G503,E503*1.1)-E503)*0.035+MAX(0,G503-E503*1.1)*0.05)</x:f>
        <x:v>0</x:v>
      </x:c>
      <x:c r="P503" s="74" t="n">
        <x:f>N503+O503</x:f>
        <x:v>1117.3499000000002</x:v>
      </x:c>
      <x:c r="Q503" s="76" t="n">
        <x:f>IF(G503&lt;=0,0,P503/G503)</x:f>
        <x:v>0.01</x:v>
      </x:c>
    </x:row>
    <x:row r="504">
      <x:c r="A504" s="56" t="str">
        <x:v>EMP042</x:v>
      </x:c>
      <x:c r="B504" s="56" t="str">
        <x:v>Ben Sullivan</x:v>
      </x:c>
      <x:c r="C504" s="56" t="str">
        <x:v>AE II</x:v>
      </x:c>
      <x:c r="D504" s="56" t="str">
        <x:v>2026-11</x:v>
      </x:c>
      <x:c r="E504" s="72" t="n">
        <x:v>128700</x:v>
      </x:c>
      <x:c r="F504" s="72" t="n">
        <x:v>82432.66</x:v>
      </x:c>
      <x:c r="G504" s="72" t="n">
        <x:v>82432.66</x:v>
      </x:c>
      <x:c r="H504" s="72" t="n">
        <x:v>0</x:v>
      </x:c>
      <x:c r="I504" s="56" t="n">
        <x:v>0</x:v>
      </x:c>
      <x:c r="J504" s="56" t="n">
        <x:v>0</x:v>
      </x:c>
      <x:c r="K504" s="68" t="n">
        <x:f>IF(E504&lt;=0,"",G504/E504)</x:f>
        <x:v>0.6405024087024087</x:v>
      </x:c>
      <x:c r="L504" t="str">
        <x:f>IF(K504="","Not Calculated",IF(K504&lt;0.8,"Below 80%",IF(K504&lt;1,"80%-99.99%",IF(K504&lt;1.1,"100%-109.99%",IF(K504&lt;1.75,"110%-174.99%","175%+ Review")))))</x:f>
        <x:v>Below 80%</x:v>
      </x:c>
      <x:c r="M504" s="56" t="str">
        <x:v>Ready for Commission Calculation</x:v>
      </x:c>
      <x:c r="N504" s="74" t="n">
        <x:f>IF(E504&lt;=0,0,MIN(G504,E504*0.8)*0.01+MAX(0,MIN(G504,E504)-E504*0.8)*0.02)</x:f>
        <x:v>824.3266000000001</x:v>
      </x:c>
      <x:c r="O504" s="74" t="n">
        <x:f>IF(E504&lt;=0,0,MAX(0,MIN(G504,E504*1.1)-E504)*0.035+MAX(0,G504-E504*1.1)*0.05)</x:f>
        <x:v>0</x:v>
      </x:c>
      <x:c r="P504" s="74" t="n">
        <x:f>N504+O504</x:f>
        <x:v>824.3266000000001</x:v>
      </x:c>
      <x:c r="Q504" s="76" t="n">
        <x:f>IF(G504&lt;=0,0,P504/G504)</x:f>
        <x:v>0.01</x:v>
      </x:c>
    </x:row>
    <x:row r="505">
      <x:c r="A505" s="56" t="str">
        <x:v>EMP042</x:v>
      </x:c>
      <x:c r="B505" s="56" t="str">
        <x:v>Ben Sullivan</x:v>
      </x:c>
      <x:c r="C505" s="56" t="str">
        <x:v>AE II</x:v>
      </x:c>
      <x:c r="D505" s="56" t="str">
        <x:v>2026-12</x:v>
      </x:c>
      <x:c r="E505" s="72" t="n">
        <x:v>143000</x:v>
      </x:c>
      <x:c r="F505" s="72" t="n">
        <x:v>112674.97</x:v>
      </x:c>
      <x:c r="G505" s="72" t="n">
        <x:v>112674.97</x:v>
      </x:c>
      <x:c r="H505" s="72" t="n">
        <x:v>0</x:v>
      </x:c>
      <x:c r="I505" s="56" t="n">
        <x:v>0</x:v>
      </x:c>
      <x:c r="J505" s="56" t="n">
        <x:v>0</x:v>
      </x:c>
      <x:c r="K505" s="68" t="n">
        <x:f>IF(E505&lt;=0,"",G505/E505)</x:f>
        <x:v>0.7879368531468531</x:v>
      </x:c>
      <x:c r="L505" t="str">
        <x:f>IF(K505="","Not Calculated",IF(K505&lt;0.8,"Below 80%",IF(K505&lt;1,"80%-99.99%",IF(K505&lt;1.1,"100%-109.99%",IF(K505&lt;1.75,"110%-174.99%","175%+ Review")))))</x:f>
        <x:v>Below 80%</x:v>
      </x:c>
      <x:c r="M505" s="56" t="str">
        <x:v>Ready for Commission Calculation</x:v>
      </x:c>
      <x:c r="N505" s="74" t="n">
        <x:f>IF(E505&lt;=0,0,MIN(G505,E505*0.8)*0.01+MAX(0,MIN(G505,E505)-E505*0.8)*0.02)</x:f>
        <x:v>1126.7497</x:v>
      </x:c>
      <x:c r="O505" s="74" t="n">
        <x:f>IF(E505&lt;=0,0,MAX(0,MIN(G505,E505*1.1)-E505)*0.035+MAX(0,G505-E505*1.1)*0.05)</x:f>
        <x:v>0</x:v>
      </x:c>
      <x:c r="P505" s="74" t="n">
        <x:f>N505+O505</x:f>
        <x:v>1126.7497</x:v>
      </x:c>
      <x:c r="Q505" s="76" t="n">
        <x:f>IF(G505&lt;=0,0,P505/G505)</x:f>
        <x:v>0.01</x:v>
      </x:c>
    </x:row>
    <x:row r="506">
      <x:c r="A506" s="56" t="str">
        <x:v>EMP043</x:v>
      </x:c>
      <x:c r="B506" s="56" t="str">
        <x:v>Sophie Landry</x:v>
      </x:c>
      <x:c r="C506" s="56" t="str">
        <x:v>AE II</x:v>
      </x:c>
      <x:c r="D506" s="56" t="str">
        <x:v>2026-01</x:v>
      </x:c>
      <x:c r="E506" s="72" t="n">
        <x:v>88900.00000000001</x:v>
      </x:c>
      <x:c r="F506" s="72" t="n">
        <x:v>68276.55</x:v>
      </x:c>
      <x:c r="G506" s="72" t="n">
        <x:v>68276.55</x:v>
      </x:c>
      <x:c r="H506" s="72" t="n">
        <x:v>0</x:v>
      </x:c>
      <x:c r="I506" s="56" t="n">
        <x:v>0</x:v>
      </x:c>
      <x:c r="J506" s="56" t="n">
        <x:v>0</x:v>
      </x:c>
      <x:c r="K506" s="68" t="n">
        <x:f>IF(E506&lt;=0,"",G506/E506)</x:f>
        <x:v>0.7680151856017997</x:v>
      </x:c>
      <x:c r="L506" t="str">
        <x:f>IF(K506="","Not Calculated",IF(K506&lt;0.8,"Below 80%",IF(K506&lt;1,"80%-99.99%",IF(K506&lt;1.1,"100%-109.99%",IF(K506&lt;1.75,"110%-174.99%","175%+ Review")))))</x:f>
        <x:v>Below 80%</x:v>
      </x:c>
      <x:c r="M506" s="56" t="str">
        <x:v>Ready for Commission Calculation</x:v>
      </x:c>
      <x:c r="N506" s="74" t="n">
        <x:f>IF(E506&lt;=0,0,MIN(G506,E506*0.8)*0.01+MAX(0,MIN(G506,E506)-E506*0.8)*0.02)</x:f>
        <x:v>682.7655000000001</x:v>
      </x:c>
      <x:c r="O506" s="74" t="n">
        <x:f>IF(E506&lt;=0,0,MAX(0,MIN(G506,E506*1.1)-E506)*0.035+MAX(0,G506-E506*1.1)*0.05)</x:f>
        <x:v>0</x:v>
      </x:c>
      <x:c r="P506" s="74" t="n">
        <x:f>N506+O506</x:f>
        <x:v>682.7655000000001</x:v>
      </x:c>
      <x:c r="Q506" s="76" t="n">
        <x:f>IF(G506&lt;=0,0,P506/G506)</x:f>
        <x:v>0.01</x:v>
      </x:c>
    </x:row>
    <x:row r="507">
      <x:c r="A507" s="56" t="str">
        <x:v>EMP043</x:v>
      </x:c>
      <x:c r="B507" s="56" t="str">
        <x:v>Sophie Landry</x:v>
      </x:c>
      <x:c r="C507" s="56" t="str">
        <x:v>AE II</x:v>
      </x:c>
      <x:c r="D507" s="56" t="str">
        <x:v>2026-02</x:v>
      </x:c>
      <x:c r="E507" s="72" t="n">
        <x:v>88900.00000000001</x:v>
      </x:c>
      <x:c r="F507" s="72" t="n">
        <x:v>57916.649999999994</x:v>
      </x:c>
      <x:c r="G507" s="72" t="n">
        <x:v>57563.939999999995</x:v>
      </x:c>
      <x:c r="H507" s="72" t="n">
        <x:v>352.71</x:v>
      </x:c>
      <x:c r="I507" s="56" t="n">
        <x:v>0</x:v>
      </x:c>
      <x:c r="J507" s="56" t="n">
        <x:v>0</x:v>
      </x:c>
      <x:c r="K507" s="68" t="n">
        <x:f>IF(E507&lt;=0,"",G507/E507)</x:f>
        <x:v>0.6475133858267715</x:v>
      </x:c>
      <x:c r="L507" t="str">
        <x:f>IF(K507="","Not Calculated",IF(K507&lt;0.8,"Below 80%",IF(K507&lt;1,"80%-99.99%",IF(K507&lt;1.1,"100%-109.99%",IF(K507&lt;1.75,"110%-174.99%","175%+ Review")))))</x:f>
        <x:v>Below 80%</x:v>
      </x:c>
      <x:c r="M507" s="56" t="str">
        <x:v>Ready for Commission Calculation</x:v>
      </x:c>
      <x:c r="N507" s="74" t="n">
        <x:f>IF(E507&lt;=0,0,MIN(G507,E507*0.8)*0.01+MAX(0,MIN(G507,E507)-E507*0.8)*0.02)</x:f>
        <x:v>575.6393999999999</x:v>
      </x:c>
      <x:c r="O507" s="74" t="n">
        <x:f>IF(E507&lt;=0,0,MAX(0,MIN(G507,E507*1.1)-E507)*0.035+MAX(0,G507-E507*1.1)*0.05)</x:f>
        <x:v>0</x:v>
      </x:c>
      <x:c r="P507" s="74" t="n">
        <x:f>N507+O507</x:f>
        <x:v>575.6393999999999</x:v>
      </x:c>
      <x:c r="Q507" s="76" t="n">
        <x:f>IF(G507&lt;=0,0,P507/G507)</x:f>
        <x:v>0.009999999999999998</x:v>
      </x:c>
    </x:row>
    <x:row r="508">
      <x:c r="A508" s="56" t="str">
        <x:v>EMP043</x:v>
      </x:c>
      <x:c r="B508" s="56" t="str">
        <x:v>Sophie Landry</x:v>
      </x:c>
      <x:c r="C508" s="56" t="str">
        <x:v>AE II</x:v>
      </x:c>
      <x:c r="D508" s="56" t="str">
        <x:v>2026-03</x:v>
      </x:c>
      <x:c r="E508" s="72" t="n">
        <x:v>101600</x:v>
      </x:c>
      <x:c r="F508" s="72" t="n">
        <x:v>61023.91</x:v>
      </x:c>
      <x:c r="G508" s="72" t="n">
        <x:v>61023.91</x:v>
      </x:c>
      <x:c r="H508" s="72" t="n">
        <x:v>0</x:v>
      </x:c>
      <x:c r="I508" s="56" t="n">
        <x:v>0</x:v>
      </x:c>
      <x:c r="J508" s="56" t="n">
        <x:v>0</x:v>
      </x:c>
      <x:c r="K508" s="68" t="n">
        <x:f>IF(E508&lt;=0,"",G508/E508)</x:f>
        <x:v>0.6006290354330709</x:v>
      </x:c>
      <x:c r="L508" t="str">
        <x:f>IF(K508="","Not Calculated",IF(K508&lt;0.8,"Below 80%",IF(K508&lt;1,"80%-99.99%",IF(K508&lt;1.1,"100%-109.99%",IF(K508&lt;1.75,"110%-174.99%","175%+ Review")))))</x:f>
        <x:v>Below 80%</x:v>
      </x:c>
      <x:c r="M508" s="56" t="str">
        <x:v>Ready for Commission Calculation</x:v>
      </x:c>
      <x:c r="N508" s="74" t="n">
        <x:f>IF(E508&lt;=0,0,MIN(G508,E508*0.8)*0.01+MAX(0,MIN(G508,E508)-E508*0.8)*0.02)</x:f>
        <x:v>610.2391</x:v>
      </x:c>
      <x:c r="O508" s="74" t="n">
        <x:f>IF(E508&lt;=0,0,MAX(0,MIN(G508,E508*1.1)-E508)*0.035+MAX(0,G508-E508*1.1)*0.05)</x:f>
        <x:v>0</x:v>
      </x:c>
      <x:c r="P508" s="74" t="n">
        <x:f>N508+O508</x:f>
        <x:v>610.2391</x:v>
      </x:c>
      <x:c r="Q508" s="76" t="n">
        <x:f>IF(G508&lt;=0,0,P508/G508)</x:f>
        <x:v>0.01</x:v>
      </x:c>
    </x:row>
    <x:row r="509">
      <x:c r="A509" s="56" t="str">
        <x:v>EMP043</x:v>
      </x:c>
      <x:c r="B509" s="56" t="str">
        <x:v>Sophie Landry</x:v>
      </x:c>
      <x:c r="C509" s="56" t="str">
        <x:v>AE II</x:v>
      </x:c>
      <x:c r="D509" s="56" t="str">
        <x:v>2026-04</x:v>
      </x:c>
      <x:c r="E509" s="72" t="n">
        <x:v>101600</x:v>
      </x:c>
      <x:c r="F509" s="72" t="n">
        <x:v>95749.93999999999</x:v>
      </x:c>
      <x:c r="G509" s="72" t="n">
        <x:v>95364.18999999999</x:v>
      </x:c>
      <x:c r="H509" s="72" t="n">
        <x:v>385.75</x:v>
      </x:c>
      <x:c r="I509" s="56" t="n">
        <x:v>0</x:v>
      </x:c>
      <x:c r="J509" s="56" t="n">
        <x:v>0</x:v>
      </x:c>
      <x:c r="K509" s="68" t="n">
        <x:f>IF(E509&lt;=0,"",G509/E509)</x:f>
        <x:v>0.9386239173228346</x:v>
      </x:c>
      <x:c r="L509" t="str">
        <x:f>IF(K509="","Not Calculated",IF(K509&lt;0.8,"Below 80%",IF(K509&lt;1,"80%-99.99%",IF(K509&lt;1.1,"100%-109.99%",IF(K509&lt;1.75,"110%-174.99%","175%+ Review")))))</x:f>
        <x:v>80%-99.99%</x:v>
      </x:c>
      <x:c r="M509" s="56" t="str">
        <x:v>Ready for Commission Calculation</x:v>
      </x:c>
      <x:c r="N509" s="74" t="n">
        <x:f>IF(E509&lt;=0,0,MIN(G509,E509*0.8)*0.01+MAX(0,MIN(G509,E509)-E509*0.8)*0.02)</x:f>
        <x:v>1094.4837999999997</x:v>
      </x:c>
      <x:c r="O509" s="74" t="n">
        <x:f>IF(E509&lt;=0,0,MAX(0,MIN(G509,E509*1.1)-E509)*0.035+MAX(0,G509-E509*1.1)*0.05)</x:f>
        <x:v>0</x:v>
      </x:c>
      <x:c r="P509" s="74" t="n">
        <x:f>N509+O509</x:f>
        <x:v>1094.4837999999997</x:v>
      </x:c>
      <x:c r="Q509" s="76" t="n">
        <x:f>IF(G509&lt;=0,0,P509/G509)</x:f>
        <x:v>0.011476884562224038</x:v>
      </x:c>
    </x:row>
    <x:row r="510">
      <x:c r="A510" s="56" t="str">
        <x:v>EMP043</x:v>
      </x:c>
      <x:c r="B510" s="56" t="str">
        <x:v>Sophie Landry</x:v>
      </x:c>
      <x:c r="C510" s="56" t="str">
        <x:v>AE II</x:v>
      </x:c>
      <x:c r="D510" s="56" t="str">
        <x:v>2026-05</x:v>
      </x:c>
      <x:c r="E510" s="72" t="n">
        <x:v>101600</x:v>
      </x:c>
      <x:c r="F510" s="72" t="n">
        <x:v>87150.51</x:v>
      </x:c>
      <x:c r="G510" s="72" t="n">
        <x:v>87150.51</x:v>
      </x:c>
      <x:c r="H510" s="72" t="n">
        <x:v>0</x:v>
      </x:c>
      <x:c r="I510" s="56" t="n">
        <x:v>0</x:v>
      </x:c>
      <x:c r="J510" s="56" t="n">
        <x:v>0</x:v>
      </x:c>
      <x:c r="K510" s="68" t="n">
        <x:f>IF(E510&lt;=0,"",G510/E510)</x:f>
        <x:v>0.8577806102362204</x:v>
      </x:c>
      <x:c r="L510" t="str">
        <x:f>IF(K510="","Not Calculated",IF(K510&lt;0.8,"Below 80%",IF(K510&lt;1,"80%-99.99%",IF(K510&lt;1.1,"100%-109.99%",IF(K510&lt;1.75,"110%-174.99%","175%+ Review")))))</x:f>
        <x:v>80%-99.99%</x:v>
      </x:c>
      <x:c r="M510" s="56" t="str">
        <x:v>Ready for Commission Calculation</x:v>
      </x:c>
      <x:c r="N510" s="74" t="n">
        <x:f>IF(E510&lt;=0,0,MIN(G510,E510*0.8)*0.01+MAX(0,MIN(G510,E510)-E510*0.8)*0.02)</x:f>
        <x:v>930.2102</x:v>
      </x:c>
      <x:c r="O510" s="74" t="n">
        <x:f>IF(E510&lt;=0,0,MAX(0,MIN(G510,E510*1.1)-E510)*0.035+MAX(0,G510-E510*1.1)*0.05)</x:f>
        <x:v>0</x:v>
      </x:c>
      <x:c r="P510" s="74" t="n">
        <x:f>N510+O510</x:f>
        <x:v>930.2102</x:v>
      </x:c>
      <x:c r="Q510" s="76" t="n">
        <x:f>IF(G510&lt;=0,0,P510/G510)</x:f>
        <x:v>0.010673605926115637</x:v>
      </x:c>
    </x:row>
    <x:row r="511">
      <x:c r="A511" s="56" t="str">
        <x:v>EMP043</x:v>
      </x:c>
      <x:c r="B511" s="56" t="str">
        <x:v>Sophie Landry</x:v>
      </x:c>
      <x:c r="C511" s="56" t="str">
        <x:v>AE II</x:v>
      </x:c>
      <x:c r="D511" s="56" t="str">
        <x:v>2026-06</x:v>
      </x:c>
      <x:c r="E511" s="72" t="n">
        <x:v>114300</x:v>
      </x:c>
      <x:c r="F511" s="72" t="n">
        <x:v>93097.28000000001</x:v>
      </x:c>
      <x:c r="G511" s="72" t="n">
        <x:v>91707.50000000001</x:v>
      </x:c>
      <x:c r="H511" s="72" t="n">
        <x:v>1389.78</x:v>
      </x:c>
      <x:c r="I511" s="56" t="n">
        <x:v>0</x:v>
      </x:c>
      <x:c r="J511" s="56" t="n">
        <x:v>0</x:v>
      </x:c>
      <x:c r="K511" s="68" t="n">
        <x:f>IF(E511&lt;=0,"",G511/E511)</x:f>
        <x:v>0.8023403324584428</x:v>
      </x:c>
      <x:c r="L511" t="str">
        <x:f>IF(K511="","Not Calculated",IF(K511&lt;0.8,"Below 80%",IF(K511&lt;1,"80%-99.99%",IF(K511&lt;1.1,"100%-109.99%",IF(K511&lt;1.75,"110%-174.99%","175%+ Review")))))</x:f>
        <x:v>80%-99.99%</x:v>
      </x:c>
      <x:c r="M511" s="56" t="str">
        <x:v>Ready for Commission Calculation</x:v>
      </x:c>
      <x:c r="N511" s="74" t="n">
        <x:f>IF(E511&lt;=0,0,MIN(G511,E511*0.8)*0.01+MAX(0,MIN(G511,E511)-E511*0.8)*0.02)</x:f>
        <x:v>919.7500000000002</x:v>
      </x:c>
      <x:c r="O511" s="74" t="n">
        <x:f>IF(E511&lt;=0,0,MAX(0,MIN(G511,E511*1.1)-E511)*0.035+MAX(0,G511-E511*1.1)*0.05)</x:f>
        <x:v>0</x:v>
      </x:c>
      <x:c r="P511" s="74" t="n">
        <x:f>N511+O511</x:f>
        <x:v>919.7500000000002</x:v>
      </x:c>
      <x:c r="Q511" s="76" t="n">
        <x:f>IF(G511&lt;=0,0,P511/G511)</x:f>
        <x:v>0.010029168824796228</x:v>
      </x:c>
    </x:row>
    <x:row r="512">
      <x:c r="A512" s="56" t="str">
        <x:v>EMP043</x:v>
      </x:c>
      <x:c r="B512" s="56" t="str">
        <x:v>Sophie Landry</x:v>
      </x:c>
      <x:c r="C512" s="56" t="str">
        <x:v>AE II</x:v>
      </x:c>
      <x:c r="D512" s="56" t="str">
        <x:v>2026-07</x:v>
      </x:c>
      <x:c r="E512" s="72" t="n">
        <x:v>88900.00000000001</x:v>
      </x:c>
      <x:c r="F512" s="72" t="n">
        <x:v>78836.06999999999</x:v>
      </x:c>
      <x:c r="G512" s="72" t="n">
        <x:v>78234.34</x:v>
      </x:c>
      <x:c r="H512" s="72" t="n">
        <x:v>601.73</x:v>
      </x:c>
      <x:c r="I512" s="56" t="n">
        <x:v>0</x:v>
      </x:c>
      <x:c r="J512" s="56" t="n">
        <x:v>0</x:v>
      </x:c>
      <x:c r="K512" s="68" t="n">
        <x:f>IF(E512&lt;=0,"",G512/E512)</x:f>
        <x:v>0.8800263217097861</x:v>
      </x:c>
      <x:c r="L512" t="str">
        <x:f>IF(K512="","Not Calculated",IF(K512&lt;0.8,"Below 80%",IF(K512&lt;1,"80%-99.99%",IF(K512&lt;1.1,"100%-109.99%",IF(K512&lt;1.75,"110%-174.99%","175%+ Review")))))</x:f>
        <x:v>80%-99.99%</x:v>
      </x:c>
      <x:c r="M512" s="56" t="str">
        <x:v>Ready for Commission Calculation</x:v>
      </x:c>
      <x:c r="N512" s="74" t="n">
        <x:f>IF(E512&lt;=0,0,MIN(G512,E512*0.8)*0.01+MAX(0,MIN(G512,E512)-E512*0.8)*0.02)</x:f>
        <x:v>853.4867999999998</x:v>
      </x:c>
      <x:c r="O512" s="74" t="n">
        <x:f>IF(E512&lt;=0,0,MAX(0,MIN(G512,E512*1.1)-E512)*0.035+MAX(0,G512-E512*1.1)*0.05)</x:f>
        <x:v>0</x:v>
      </x:c>
      <x:c r="P512" s="74" t="n">
        <x:f>N512+O512</x:f>
        <x:v>853.4867999999998</x:v>
      </x:c>
      <x:c r="Q512" s="76" t="n">
        <x:f>IF(G512&lt;=0,0,P512/G512)</x:f>
        <x:v>0.010909362819447314</x:v>
      </x:c>
    </x:row>
    <x:row r="513">
      <x:c r="A513" s="56" t="str">
        <x:v>EMP043</x:v>
      </x:c>
      <x:c r="B513" s="56" t="str">
        <x:v>Sophie Landry</x:v>
      </x:c>
      <x:c r="C513" s="56" t="str">
        <x:v>AE II</x:v>
      </x:c>
      <x:c r="D513" s="56" t="str">
        <x:v>2026-08</x:v>
      </x:c>
      <x:c r="E513" s="72" t="n">
        <x:v>88900.00000000001</x:v>
      </x:c>
      <x:c r="F513" s="72" t="n">
        <x:v>52722.43000000001</x:v>
      </x:c>
      <x:c r="G513" s="72" t="n">
        <x:v>51922.75</x:v>
      </x:c>
      <x:c r="H513" s="72" t="n">
        <x:v>799.68</x:v>
      </x:c>
      <x:c r="I513" s="56" t="n">
        <x:v>0</x:v>
      </x:c>
      <x:c r="J513" s="56" t="n">
        <x:v>0</x:v>
      </x:c>
      <x:c r="K513" s="68" t="n">
        <x:f>IF(E513&lt;=0,"",G513/E513)</x:f>
        <x:v>0.5840579302587176</x:v>
      </x:c>
      <x:c r="L513" t="str">
        <x:f>IF(K513="","Not Calculated",IF(K513&lt;0.8,"Below 80%",IF(K513&lt;1,"80%-99.99%",IF(K513&lt;1.1,"100%-109.99%",IF(K513&lt;1.75,"110%-174.99%","175%+ Review")))))</x:f>
        <x:v>Below 80%</x:v>
      </x:c>
      <x:c r="M513" s="56" t="str">
        <x:v>Ready for Commission Calculation</x:v>
      </x:c>
      <x:c r="N513" s="74" t="n">
        <x:f>IF(E513&lt;=0,0,MIN(G513,E513*0.8)*0.01+MAX(0,MIN(G513,E513)-E513*0.8)*0.02)</x:f>
        <x:v>519.2275</x:v>
      </x:c>
      <x:c r="O513" s="74" t="n">
        <x:f>IF(E513&lt;=0,0,MAX(0,MIN(G513,E513*1.1)-E513)*0.035+MAX(0,G513-E513*1.1)*0.05)</x:f>
        <x:v>0</x:v>
      </x:c>
      <x:c r="P513" s="74" t="n">
        <x:f>N513+O513</x:f>
        <x:v>519.2275</x:v>
      </x:c>
      <x:c r="Q513" s="76" t="n">
        <x:f>IF(G513&lt;=0,0,P513/G513)</x:f>
        <x:v>0.009999999999999998</x:v>
      </x:c>
    </x:row>
    <x:row r="514">
      <x:c r="A514" s="56" t="str">
        <x:v>EMP043</x:v>
      </x:c>
      <x:c r="B514" s="56" t="str">
        <x:v>Sophie Landry</x:v>
      </x:c>
      <x:c r="C514" s="56" t="str">
        <x:v>AE II</x:v>
      </x:c>
      <x:c r="D514" s="56" t="str">
        <x:v>2026-09</x:v>
      </x:c>
      <x:c r="E514" s="72" t="n">
        <x:v>127000</x:v>
      </x:c>
      <x:c r="F514" s="72" t="n">
        <x:v>118233.90999999997</x:v>
      </x:c>
      <x:c r="G514" s="72" t="n">
        <x:v>118233.90999999997</x:v>
      </x:c>
      <x:c r="H514" s="72" t="n">
        <x:v>0</x:v>
      </x:c>
      <x:c r="I514" s="56" t="n">
        <x:v>0</x:v>
      </x:c>
      <x:c r="J514" s="56" t="n">
        <x:v>0</x:v>
      </x:c>
      <x:c r="K514" s="68" t="n">
        <x:f>IF(E514&lt;=0,"",G514/E514)</x:f>
        <x:v>0.9309756692913383</x:v>
      </x:c>
      <x:c r="L514" t="str">
        <x:f>IF(K514="","Not Calculated",IF(K514&lt;0.8,"Below 80%",IF(K514&lt;1,"80%-99.99%",IF(K514&lt;1.1,"100%-109.99%",IF(K514&lt;1.75,"110%-174.99%","175%+ Review")))))</x:f>
        <x:v>80%-99.99%</x:v>
      </x:c>
      <x:c r="M514" s="56" t="str">
        <x:v>Ready for Commission Calculation</x:v>
      </x:c>
      <x:c r="N514" s="74" t="n">
        <x:f>IF(E514&lt;=0,0,MIN(G514,E514*0.8)*0.01+MAX(0,MIN(G514,E514)-E514*0.8)*0.02)</x:f>
        <x:v>1348.6781999999994</x:v>
      </x:c>
      <x:c r="O514" s="74" t="n">
        <x:f>IF(E514&lt;=0,0,MAX(0,MIN(G514,E514*1.1)-E514)*0.035+MAX(0,G514-E514*1.1)*0.05)</x:f>
        <x:v>0</x:v>
      </x:c>
      <x:c r="P514" s="74" t="n">
        <x:f>N514+O514</x:f>
        <x:v>1348.6781999999994</x:v>
      </x:c>
      <x:c r="Q514" s="76" t="n">
        <x:f>IF(G514&lt;=0,0,P514/G514)</x:f>
        <x:v>0.01140686457886743</x:v>
      </x:c>
    </x:row>
    <x:row r="515">
      <x:c r="A515" s="56" t="str">
        <x:v>EMP043</x:v>
      </x:c>
      <x:c r="B515" s="56" t="str">
        <x:v>Sophie Landry</x:v>
      </x:c>
      <x:c r="C515" s="56" t="str">
        <x:v>AE II</x:v>
      </x:c>
      <x:c r="D515" s="56" t="str">
        <x:v>2026-10</x:v>
      </x:c>
      <x:c r="E515" s="72" t="n">
        <x:v>127000</x:v>
      </x:c>
      <x:c r="F515" s="72" t="n">
        <x:v>111754.92</x:v>
      </x:c>
      <x:c r="G515" s="72" t="n">
        <x:v>111754.92</x:v>
      </x:c>
      <x:c r="H515" s="72" t="n">
        <x:v>0</x:v>
      </x:c>
      <x:c r="I515" s="56" t="n">
        <x:v>0</x:v>
      </x:c>
      <x:c r="J515" s="56" t="n">
        <x:v>0</x:v>
      </x:c>
      <x:c r="K515" s="68" t="n">
        <x:f>IF(E515&lt;=0,"",G515/E515)</x:f>
        <x:v>0.87996</x:v>
      </x:c>
      <x:c r="L515" t="str">
        <x:f>IF(K515="","Not Calculated",IF(K515&lt;0.8,"Below 80%",IF(K515&lt;1,"80%-99.99%",IF(K515&lt;1.1,"100%-109.99%",IF(K515&lt;1.75,"110%-174.99%","175%+ Review")))))</x:f>
        <x:v>80%-99.99%</x:v>
      </x:c>
      <x:c r="M515" s="56" t="str">
        <x:v>Ready for Commission Calculation</x:v>
      </x:c>
      <x:c r="N515" s="74" t="n">
        <x:f>IF(E515&lt;=0,0,MIN(G515,E515*0.8)*0.01+MAX(0,MIN(G515,E515)-E515*0.8)*0.02)</x:f>
        <x:v>1219.0983999999999</x:v>
      </x:c>
      <x:c r="O515" s="74" t="n">
        <x:f>IF(E515&lt;=0,0,MAX(0,MIN(G515,E515*1.1)-E515)*0.035+MAX(0,G515-E515*1.1)*0.05)</x:f>
        <x:v>0</x:v>
      </x:c>
      <x:c r="P515" s="74" t="n">
        <x:f>N515+O515</x:f>
        <x:v>1219.0983999999999</x:v>
      </x:c>
      <x:c r="Q515" s="76" t="n">
        <x:f>IF(G515&lt;=0,0,P515/G515)</x:f>
        <x:v>0.010908677667166689</x:v>
      </x:c>
    </x:row>
    <x:row r="516">
      <x:c r="A516" s="56" t="str">
        <x:v>EMP043</x:v>
      </x:c>
      <x:c r="B516" s="56" t="str">
        <x:v>Sophie Landry</x:v>
      </x:c>
      <x:c r="C516" s="56" t="str">
        <x:v>AE II</x:v>
      </x:c>
      <x:c r="D516" s="56" t="str">
        <x:v>2026-11</x:v>
      </x:c>
      <x:c r="E516" s="72" t="n">
        <x:v>114300</x:v>
      </x:c>
      <x:c r="F516" s="72" t="n">
        <x:v>98205.73999999999</x:v>
      </x:c>
      <x:c r="G516" s="72" t="n">
        <x:v>97559.68999999999</x:v>
      </x:c>
      <x:c r="H516" s="72" t="n">
        <x:v>646.05</x:v>
      </x:c>
      <x:c r="I516" s="56" t="n">
        <x:v>0</x:v>
      </x:c>
      <x:c r="J516" s="56" t="n">
        <x:v>0</x:v>
      </x:c>
      <x:c r="K516" s="68" t="n">
        <x:f>IF(E516&lt;=0,"",G516/E516)</x:f>
        <x:v>0.8535405949256342</x:v>
      </x:c>
      <x:c r="L516" t="str">
        <x:f>IF(K516="","Not Calculated",IF(K516&lt;0.8,"Below 80%",IF(K516&lt;1,"80%-99.99%",IF(K516&lt;1.1,"100%-109.99%",IF(K516&lt;1.75,"110%-174.99%","175%+ Review")))))</x:f>
        <x:v>80%-99.99%</x:v>
      </x:c>
      <x:c r="M516" s="56" t="str">
        <x:v>Ready for Commission Calculation</x:v>
      </x:c>
      <x:c r="N516" s="74" t="n">
        <x:f>IF(E516&lt;=0,0,MIN(G516,E516*0.8)*0.01+MAX(0,MIN(G516,E516)-E516*0.8)*0.02)</x:f>
        <x:v>1036.7937999999997</x:v>
      </x:c>
      <x:c r="O516" s="74" t="n">
        <x:f>IF(E516&lt;=0,0,MAX(0,MIN(G516,E516*1.1)-E516)*0.035+MAX(0,G516-E516*1.1)*0.05)</x:f>
        <x:v>0</x:v>
      </x:c>
      <x:c r="P516" s="74" t="n">
        <x:f>N516+O516</x:f>
        <x:v>1036.7937999999997</x:v>
      </x:c>
      <x:c r="Q516" s="76" t="n">
        <x:f>IF(G516&lt;=0,0,P516/G516)</x:f>
        <x:v>0.010627276490935958</x:v>
      </x:c>
    </x:row>
    <x:row r="517">
      <x:c r="A517" s="56" t="str">
        <x:v>EMP043</x:v>
      </x:c>
      <x:c r="B517" s="56" t="str">
        <x:v>Sophie Landry</x:v>
      </x:c>
      <x:c r="C517" s="56" t="str">
        <x:v>AE II</x:v>
      </x:c>
      <x:c r="D517" s="56" t="str">
        <x:v>2026-12</x:v>
      </x:c>
      <x:c r="E517" s="72" t="n">
        <x:v>127000</x:v>
      </x:c>
      <x:c r="F517" s="72" t="n">
        <x:v>133679.53999999998</x:v>
      </x:c>
      <x:c r="G517" s="72" t="n">
        <x:v>85150.75</x:v>
      </x:c>
      <x:c r="H517" s="72" t="n">
        <x:v>215.93</x:v>
      </x:c>
      <x:c r="I517" s="56" t="n">
        <x:v>0</x:v>
      </x:c>
      <x:c r="J517" s="56" t="n">
        <x:v>2</x:v>
      </x:c>
      <x:c r="K517" s="68" t="n">
        <x:f>IF(E517&lt;=0,"",G517/E517)</x:f>
        <x:v>0.6704783464566929</x:v>
      </x:c>
      <x:c r="L517" t="str">
        <x:f>IF(K517="","Not Calculated",IF(K517&lt;0.8,"Below 80%",IF(K517&lt;1,"80%-99.99%",IF(K517&lt;1.1,"100%-109.99%",IF(K517&lt;1.75,"110%-174.99%","175%+ Review")))))</x:f>
        <x:v>Below 80%</x:v>
      </x:c>
      <x:c r="M517" s="56" t="str">
        <x:v>HOLD - Sales Credit</x:v>
      </x:c>
      <x:c r="N517" s="74" t="n">
        <x:f>IF(E517&lt;=0,0,MIN(G517,E517*0.8)*0.01+MAX(0,MIN(G517,E517)-E517*0.8)*0.02)</x:f>
        <x:v>851.5075</x:v>
      </x:c>
      <x:c r="O517" s="74" t="n">
        <x:f>IF(E517&lt;=0,0,MAX(0,MIN(G517,E517*1.1)-E517)*0.035+MAX(0,G517-E517*1.1)*0.05)</x:f>
        <x:v>0</x:v>
      </x:c>
      <x:c r="P517" s="74" t="n">
        <x:f>N517+O517</x:f>
        <x:v>851.5075</x:v>
      </x:c>
      <x:c r="Q517" s="76" t="n">
        <x:f>IF(G517&lt;=0,0,P517/G517)</x:f>
        <x:v>0.01</x:v>
      </x:c>
    </x:row>
    <x:row r="518">
      <x:c r="A518" s="56" t="str">
        <x:v>EMP044</x:v>
      </x:c>
      <x:c r="B518" s="56" t="str">
        <x:v>Aiden Power</x:v>
      </x:c>
      <x:c r="C518" s="56" t="str">
        <x:v>AE II</x:v>
      </x:c>
      <x:c r="D518" s="56" t="str">
        <x:v>2026-01</x:v>
      </x:c>
      <x:c r="E518" s="72" t="n">
        <x:v>96600.00000000001</x:v>
      </x:c>
      <x:c r="F518" s="72" t="n">
        <x:v>81866.48999999999</x:v>
      </x:c>
      <x:c r="G518" s="72" t="n">
        <x:v>80688.21999999999</x:v>
      </x:c>
      <x:c r="H518" s="72" t="n">
        <x:v>1178.27</x:v>
      </x:c>
      <x:c r="I518" s="56" t="n">
        <x:v>0</x:v>
      </x:c>
      <x:c r="J518" s="56" t="n">
        <x:v>0</x:v>
      </x:c>
      <x:c r="K518" s="68" t="n">
        <x:f>IF(E518&lt;=0,"",G518/E518)</x:f>
        <x:v>0.835281780538302</x:v>
      </x:c>
      <x:c r="L518" t="str">
        <x:f>IF(K518="","Not Calculated",IF(K518&lt;0.8,"Below 80%",IF(K518&lt;1,"80%-99.99%",IF(K518&lt;1.1,"100%-109.99%",IF(K518&lt;1.75,"110%-174.99%","175%+ Review")))))</x:f>
        <x:v>80%-99.99%</x:v>
      </x:c>
      <x:c r="M518" s="56" t="str">
        <x:v>Ready for Commission Calculation</x:v>
      </x:c>
      <x:c r="N518" s="74" t="n">
        <x:f>IF(E518&lt;=0,0,MIN(G518,E518*0.8)*0.01+MAX(0,MIN(G518,E518)-E518*0.8)*0.02)</x:f>
        <x:v>840.9643999999996</x:v>
      </x:c>
      <x:c r="O518" s="74" t="n">
        <x:f>IF(E518&lt;=0,0,MAX(0,MIN(G518,E518*1.1)-E518)*0.035+MAX(0,G518-E518*1.1)*0.05)</x:f>
        <x:v>0</x:v>
      </x:c>
      <x:c r="P518" s="74" t="n">
        <x:f>N518+O518</x:f>
        <x:v>840.9643999999996</x:v>
      </x:c>
      <x:c r="Q518" s="76" t="n">
        <x:f>IF(G518&lt;=0,0,P518/G518)</x:f>
        <x:v>0.0104223937521487</x:v>
      </x:c>
    </x:row>
    <x:row r="519">
      <x:c r="A519" s="56" t="str">
        <x:v>EMP044</x:v>
      </x:c>
      <x:c r="B519" s="56" t="str">
        <x:v>Aiden Power</x:v>
      </x:c>
      <x:c r="C519" s="56" t="str">
        <x:v>AE II</x:v>
      </x:c>
      <x:c r="D519" s="56" t="str">
        <x:v>2026-02</x:v>
      </x:c>
      <x:c r="E519" s="72" t="n">
        <x:v>96600.00000000001</x:v>
      </x:c>
      <x:c r="F519" s="72" t="n">
        <x:v>97286.98999999999</x:v>
      </x:c>
      <x:c r="G519" s="72" t="n">
        <x:v>96832.37</x:v>
      </x:c>
      <x:c r="H519" s="72" t="n">
        <x:v>454.62</x:v>
      </x:c>
      <x:c r="I519" s="56" t="n">
        <x:v>0</x:v>
      </x:c>
      <x:c r="J519" s="56" t="n">
        <x:v>0</x:v>
      </x:c>
      <x:c r="K519" s="68" t="n">
        <x:f>IF(E519&lt;=0,"",G519/E519)</x:f>
        <x:v>1.0024054865424428</x:v>
      </x:c>
      <x:c r="L519" t="str">
        <x:f>IF(K519="","Not Calculated",IF(K519&lt;0.8,"Below 80%",IF(K519&lt;1,"80%-99.99%",IF(K519&lt;1.1,"100%-109.99%",IF(K519&lt;1.75,"110%-174.99%","175%+ Review")))))</x:f>
        <x:v>100%-109.99%</x:v>
      </x:c>
      <x:c r="M519" s="56" t="str">
        <x:v>Ready for Commission Calculation</x:v>
      </x:c>
      <x:c r="N519" s="74" t="n">
        <x:f>IF(E519&lt;=0,0,MIN(G519,E519*0.8)*0.01+MAX(0,MIN(G519,E519)-E519*0.8)*0.02)</x:f>
        <x:v>1159.2000000000003</x:v>
      </x:c>
      <x:c r="O519" s="74" t="n">
        <x:f>IF(E519&lt;=0,0,MAX(0,MIN(G519,E519*1.1)-E519)*0.035+MAX(0,G519-E519*1.1)*0.05)</x:f>
        <x:v>8.132949999999328</x:v>
      </x:c>
      <x:c r="P519" s="74" t="n">
        <x:f>N519+O519</x:f>
        <x:v>1167.3329499999995</x:v>
      </x:c>
      <x:c r="Q519" s="76" t="n">
        <x:f>IF(G519&lt;=0,0,P519/G519)</x:f>
        <x:v>0.012055193423438873</x:v>
      </x:c>
    </x:row>
    <x:row r="520">
      <x:c r="A520" s="56" t="str">
        <x:v>EMP044</x:v>
      </x:c>
      <x:c r="B520" s="56" t="str">
        <x:v>Aiden Power</x:v>
      </x:c>
      <x:c r="C520" s="56" t="str">
        <x:v>AE II</x:v>
      </x:c>
      <x:c r="D520" s="56" t="str">
        <x:v>2026-03</x:v>
      </x:c>
      <x:c r="E520" s="72" t="n">
        <x:v>110400</x:v>
      </x:c>
      <x:c r="F520" s="72" t="n">
        <x:v>97196.37</x:v>
      </x:c>
      <x:c r="G520" s="72" t="n">
        <x:v>96686.56</x:v>
      </x:c>
      <x:c r="H520" s="72" t="n">
        <x:v>509.81</x:v>
      </x:c>
      <x:c r="I520" s="56" t="n">
        <x:v>0</x:v>
      </x:c>
      <x:c r="J520" s="56" t="n">
        <x:v>0</x:v>
      </x:c>
      <x:c r="K520" s="68" t="n">
        <x:f>IF(E520&lt;=0,"",G520/E520)</x:f>
        <x:v>0.8757840579710144</x:v>
      </x:c>
      <x:c r="L520" t="str">
        <x:f>IF(K520="","Not Calculated",IF(K520&lt;0.8,"Below 80%",IF(K520&lt;1,"80%-99.99%",IF(K520&lt;1.1,"100%-109.99%",IF(K520&lt;1.75,"110%-174.99%","175%+ Review")))))</x:f>
        <x:v>80%-99.99%</x:v>
      </x:c>
      <x:c r="M520" s="56" t="str">
        <x:v>Ready for Commission Calculation</x:v>
      </x:c>
      <x:c r="N520" s="74" t="n">
        <x:f>IF(E520&lt;=0,0,MIN(G520,E520*0.8)*0.01+MAX(0,MIN(G520,E520)-E520*0.8)*0.02)</x:f>
        <x:v>1050.5312</x:v>
      </x:c>
      <x:c r="O520" s="74" t="n">
        <x:f>IF(E520&lt;=0,0,MAX(0,MIN(G520,E520*1.1)-E520)*0.035+MAX(0,G520-E520*1.1)*0.05)</x:f>
        <x:v>0</x:v>
      </x:c>
      <x:c r="P520" s="74" t="n">
        <x:f>N520+O520</x:f>
        <x:v>1050.5312</x:v>
      </x:c>
      <x:c r="Q520" s="76" t="n">
        <x:f>IF(G520&lt;=0,0,P520/G520)</x:f>
        <x:v>0.01086532812833552</x:v>
      </x:c>
    </x:row>
    <x:row r="521">
      <x:c r="A521" s="56" t="str">
        <x:v>EMP044</x:v>
      </x:c>
      <x:c r="B521" s="56" t="str">
        <x:v>Aiden Power</x:v>
      </x:c>
      <x:c r="C521" s="56" t="str">
        <x:v>AE II</x:v>
      </x:c>
      <x:c r="D521" s="56" t="str">
        <x:v>2026-04</x:v>
      </x:c>
      <x:c r="E521" s="72" t="n">
        <x:v>110400</x:v>
      </x:c>
      <x:c r="F521" s="72" t="n">
        <x:v>109010.85</x:v>
      </x:c>
      <x:c r="G521" s="72" t="n">
        <x:v>109010.85</x:v>
      </x:c>
      <x:c r="H521" s="72" t="n">
        <x:v>0</x:v>
      </x:c>
      <x:c r="I521" s="56" t="n">
        <x:v>0</x:v>
      </x:c>
      <x:c r="J521" s="56" t="n">
        <x:v>0</x:v>
      </x:c>
      <x:c r="K521" s="68" t="n">
        <x:f>IF(E521&lt;=0,"",G521/E521)</x:f>
        <x:v>0.9874171195652175</x:v>
      </x:c>
      <x:c r="L521" t="str">
        <x:f>IF(K521="","Not Calculated",IF(K521&lt;0.8,"Below 80%",IF(K521&lt;1,"80%-99.99%",IF(K521&lt;1.1,"100%-109.99%",IF(K521&lt;1.75,"110%-174.99%","175%+ Review")))))</x:f>
        <x:v>80%-99.99%</x:v>
      </x:c>
      <x:c r="M521" s="56" t="str">
        <x:v>Ready for Commission Calculation</x:v>
      </x:c>
      <x:c r="N521" s="74" t="n">
        <x:f>IF(E521&lt;=0,0,MIN(G521,E521*0.8)*0.01+MAX(0,MIN(G521,E521)-E521*0.8)*0.02)</x:f>
        <x:v>1297.0170000000003</x:v>
      </x:c>
      <x:c r="O521" s="74" t="n">
        <x:f>IF(E521&lt;=0,0,MAX(0,MIN(G521,E521*1.1)-E521)*0.035+MAX(0,G521-E521*1.1)*0.05)</x:f>
        <x:v>0</x:v>
      </x:c>
      <x:c r="P521" s="74" t="n">
        <x:f>N521+O521</x:f>
        <x:v>1297.0170000000003</x:v>
      </x:c>
      <x:c r="Q521" s="76" t="n">
        <x:f>IF(G521&lt;=0,0,P521/G521)</x:f>
        <x:v>0.011898054184514662</x:v>
      </x:c>
    </x:row>
    <x:row r="522">
      <x:c r="A522" s="56" t="str">
        <x:v>EMP044</x:v>
      </x:c>
      <x:c r="B522" s="56" t="str">
        <x:v>Aiden Power</x:v>
      </x:c>
      <x:c r="C522" s="56" t="str">
        <x:v>AE II</x:v>
      </x:c>
      <x:c r="D522" s="56" t="str">
        <x:v>2026-05</x:v>
      </x:c>
      <x:c r="E522" s="72" t="n">
        <x:v>110400</x:v>
      </x:c>
      <x:c r="F522" s="72" t="n">
        <x:v>107986.84000000001</x:v>
      </x:c>
      <x:c r="G522" s="72" t="n">
        <x:v>107986.84000000001</x:v>
      </x:c>
      <x:c r="H522" s="72" t="n">
        <x:v>0</x:v>
      </x:c>
      <x:c r="I522" s="56" t="n">
        <x:v>0</x:v>
      </x:c>
      <x:c r="J522" s="56" t="n">
        <x:v>0</x:v>
      </x:c>
      <x:c r="K522" s="68" t="n">
        <x:f>IF(E522&lt;=0,"",G522/E522)</x:f>
        <x:v>0.9781416666666668</x:v>
      </x:c>
      <x:c r="L522" t="str">
        <x:f>IF(K522="","Not Calculated",IF(K522&lt;0.8,"Below 80%",IF(K522&lt;1,"80%-99.99%",IF(K522&lt;1.1,"100%-109.99%",IF(K522&lt;1.75,"110%-174.99%","175%+ Review")))))</x:f>
        <x:v>80%-99.99%</x:v>
      </x:c>
      <x:c r="M522" s="56" t="str">
        <x:v>Ready for Commission Calculation</x:v>
      </x:c>
      <x:c r="N522" s="74" t="n">
        <x:f>IF(E522&lt;=0,0,MIN(G522,E522*0.8)*0.01+MAX(0,MIN(G522,E522)-E522*0.8)*0.02)</x:f>
        <x:v>1276.5368000000003</x:v>
      </x:c>
      <x:c r="O522" s="74" t="n">
        <x:f>IF(E522&lt;=0,0,MAX(0,MIN(G522,E522*1.1)-E522)*0.035+MAX(0,G522-E522*1.1)*0.05)</x:f>
        <x:v>0</x:v>
      </x:c>
      <x:c r="P522" s="74" t="n">
        <x:f>N522+O522</x:f>
        <x:v>1276.5368000000003</x:v>
      </x:c>
      <x:c r="Q522" s="76" t="n">
        <x:f>IF(G522&lt;=0,0,P522/G522)</x:f>
        <x:v>0.01182122562341856</x:v>
      </x:c>
    </x:row>
    <x:row r="523">
      <x:c r="A523" s="56" t="str">
        <x:v>EMP044</x:v>
      </x:c>
      <x:c r="B523" s="56" t="str">
        <x:v>Aiden Power</x:v>
      </x:c>
      <x:c r="C523" s="56" t="str">
        <x:v>AE II</x:v>
      </x:c>
      <x:c r="D523" s="56" t="str">
        <x:v>2026-06</x:v>
      </x:c>
      <x:c r="E523" s="72" t="n">
        <x:v>124200</x:v>
      </x:c>
      <x:c r="F523" s="72" t="n">
        <x:v>121038.31</x:v>
      </x:c>
      <x:c r="G523" s="72" t="n">
        <x:v>119847.19</x:v>
      </x:c>
      <x:c r="H523" s="72" t="n">
        <x:v>1191.12</x:v>
      </x:c>
      <x:c r="I523" s="56" t="n">
        <x:v>0</x:v>
      </x:c>
      <x:c r="J523" s="56" t="n">
        <x:v>0</x:v>
      </x:c>
      <x:c r="K523" s="68" t="n">
        <x:f>IF(E523&lt;=0,"",G523/E523)</x:f>
        <x:v>0.9649532206119162</x:v>
      </x:c>
      <x:c r="L523" t="str">
        <x:f>IF(K523="","Not Calculated",IF(K523&lt;0.8,"Below 80%",IF(K523&lt;1,"80%-99.99%",IF(K523&lt;1.1,"100%-109.99%",IF(K523&lt;1.75,"110%-174.99%","175%+ Review")))))</x:f>
        <x:v>80%-99.99%</x:v>
      </x:c>
      <x:c r="M523" s="56" t="str">
        <x:v>Ready for Commission Calculation</x:v>
      </x:c>
      <x:c r="N523" s="74" t="n">
        <x:f>IF(E523&lt;=0,0,MIN(G523,E523*0.8)*0.01+MAX(0,MIN(G523,E523)-E523*0.8)*0.02)</x:f>
        <x:v>1403.3438</x:v>
      </x:c>
      <x:c r="O523" s="74" t="n">
        <x:f>IF(E523&lt;=0,0,MAX(0,MIN(G523,E523*1.1)-E523)*0.035+MAX(0,G523-E523*1.1)*0.05)</x:f>
        <x:v>0</x:v>
      </x:c>
      <x:c r="P523" s="74" t="n">
        <x:f>N523+O523</x:f>
        <x:v>1403.3438</x:v>
      </x:c>
      <x:c r="Q523" s="76" t="n">
        <x:f>IF(G523&lt;=0,0,P523/G523)</x:f>
        <x:v>0.011709442666115077</x:v>
      </x:c>
    </x:row>
    <x:row r="524">
      <x:c r="A524" s="56" t="str">
        <x:v>EMP044</x:v>
      </x:c>
      <x:c r="B524" s="56" t="str">
        <x:v>Aiden Power</x:v>
      </x:c>
      <x:c r="C524" s="56" t="str">
        <x:v>AE II</x:v>
      </x:c>
      <x:c r="D524" s="56" t="str">
        <x:v>2026-07</x:v>
      </x:c>
      <x:c r="E524" s="72" t="n">
        <x:v>96600.00000000001</x:v>
      </x:c>
      <x:c r="F524" s="72" t="n">
        <x:v>89403.47</x:v>
      </x:c>
      <x:c r="G524" s="72" t="n">
        <x:v>89403.47</x:v>
      </x:c>
      <x:c r="H524" s="72" t="n">
        <x:v>0</x:v>
      </x:c>
      <x:c r="I524" s="56" t="n">
        <x:v>0</x:v>
      </x:c>
      <x:c r="J524" s="56" t="n">
        <x:v>0</x:v>
      </x:c>
      <x:c r="K524" s="68" t="n">
        <x:f>IF(E524&lt;=0,"",G524/E524)</x:f>
        <x:v>0.9255017598343684</x:v>
      </x:c>
      <x:c r="L524" t="str">
        <x:f>IF(K524="","Not Calculated",IF(K524&lt;0.8,"Below 80%",IF(K524&lt;1,"80%-99.99%",IF(K524&lt;1.1,"100%-109.99%",IF(K524&lt;1.75,"110%-174.99%","175%+ Review")))))</x:f>
        <x:v>80%-99.99%</x:v>
      </x:c>
      <x:c r="M524" s="56" t="str">
        <x:v>Ready for Commission Calculation</x:v>
      </x:c>
      <x:c r="N524" s="74" t="n">
        <x:f>IF(E524&lt;=0,0,MIN(G524,E524*0.8)*0.01+MAX(0,MIN(G524,E524)-E524*0.8)*0.02)</x:f>
        <x:v>1015.2693999999999</x:v>
      </x:c>
      <x:c r="O524" s="74" t="n">
        <x:f>IF(E524&lt;=0,0,MAX(0,MIN(G524,E524*1.1)-E524)*0.035+MAX(0,G524-E524*1.1)*0.05)</x:f>
        <x:v>0</x:v>
      </x:c>
      <x:c r="P524" s="74" t="n">
        <x:f>N524+O524</x:f>
        <x:v>1015.2693999999999</x:v>
      </x:c>
      <x:c r="Q524" s="76" t="n">
        <x:f>IF(G524&lt;=0,0,P524/G524)</x:f>
        <x:v>0.011356040207387922</x:v>
      </x:c>
    </x:row>
    <x:row r="525">
      <x:c r="A525" s="56" t="str">
        <x:v>EMP044</x:v>
      </x:c>
      <x:c r="B525" s="56" t="str">
        <x:v>Aiden Power</x:v>
      </x:c>
      <x:c r="C525" s="56" t="str">
        <x:v>AE II</x:v>
      </x:c>
      <x:c r="D525" s="56" t="str">
        <x:v>2026-08</x:v>
      </x:c>
      <x:c r="E525" s="72" t="n">
        <x:v>96600.00000000001</x:v>
      </x:c>
      <x:c r="F525" s="72" t="n">
        <x:v>99342.94</x:v>
      </x:c>
      <x:c r="G525" s="72" t="n">
        <x:v>98303.91</x:v>
      </x:c>
      <x:c r="H525" s="72" t="n">
        <x:v>1039.03</x:v>
      </x:c>
      <x:c r="I525" s="56" t="n">
        <x:v>0</x:v>
      </x:c>
      <x:c r="J525" s="56" t="n">
        <x:v>0</x:v>
      </x:c>
      <x:c r="K525" s="68" t="n">
        <x:f>IF(E525&lt;=0,"",G525/E525)</x:f>
        <x:v>1.0176388198757762</x:v>
      </x:c>
      <x:c r="L525" t="str">
        <x:f>IF(K525="","Not Calculated",IF(K525&lt;0.8,"Below 80%",IF(K525&lt;1,"80%-99.99%",IF(K525&lt;1.1,"100%-109.99%",IF(K525&lt;1.75,"110%-174.99%","175%+ Review")))))</x:f>
        <x:v>100%-109.99%</x:v>
      </x:c>
      <x:c r="M525" s="56" t="str">
        <x:v>Ready for Commission Calculation</x:v>
      </x:c>
      <x:c r="N525" s="74" t="n">
        <x:f>IF(E525&lt;=0,0,MIN(G525,E525*0.8)*0.01+MAX(0,MIN(G525,E525)-E525*0.8)*0.02)</x:f>
        <x:v>1159.2000000000003</x:v>
      </x:c>
      <x:c r="O525" s="74" t="n">
        <x:f>IF(E525&lt;=0,0,MAX(0,MIN(G525,E525*1.1)-E525)*0.035+MAX(0,G525-E525*1.1)*0.05)</x:f>
        <x:v>59.63684999999962</x:v>
      </x:c>
      <x:c r="P525" s="74" t="n">
        <x:f>N525+O525</x:f>
        <x:v>1218.83685</x:v>
      </x:c>
      <x:c r="Q525" s="76" t="n">
        <x:f>IF(G525&lt;=0,0,P525/G525)</x:f>
        <x:v>0.012398660948481091</x:v>
      </x:c>
    </x:row>
    <x:row r="526">
      <x:c r="A526" s="56" t="str">
        <x:v>EMP044</x:v>
      </x:c>
      <x:c r="B526" s="56" t="str">
        <x:v>Aiden Power</x:v>
      </x:c>
      <x:c r="C526" s="56" t="str">
        <x:v>AE II</x:v>
      </x:c>
      <x:c r="D526" s="56" t="str">
        <x:v>2026-09</x:v>
      </x:c>
      <x:c r="E526" s="72" t="n">
        <x:v>138000</x:v>
      </x:c>
      <x:c r="F526" s="72" t="n">
        <x:v>141669.72</x:v>
      </x:c>
      <x:c r="G526" s="72" t="n">
        <x:v>141669.72</x:v>
      </x:c>
      <x:c r="H526" s="72" t="n">
        <x:v>0</x:v>
      </x:c>
      <x:c r="I526" s="56" t="n">
        <x:v>0</x:v>
      </x:c>
      <x:c r="J526" s="56" t="n">
        <x:v>0</x:v>
      </x:c>
      <x:c r="K526" s="68" t="n">
        <x:f>IF(E526&lt;=0,"",G526/E526)</x:f>
        <x:v>1.0265921739130435</x:v>
      </x:c>
      <x:c r="L526" t="str">
        <x:f>IF(K526="","Not Calculated",IF(K526&lt;0.8,"Below 80%",IF(K526&lt;1,"80%-99.99%",IF(K526&lt;1.1,"100%-109.99%",IF(K526&lt;1.75,"110%-174.99%","175%+ Review")))))</x:f>
        <x:v>100%-109.99%</x:v>
      </x:c>
      <x:c r="M526" s="56" t="str">
        <x:v>Ready for Commission Calculation</x:v>
      </x:c>
      <x:c r="N526" s="74" t="n">
        <x:f>IF(E526&lt;=0,0,MIN(G526,E526*0.8)*0.01+MAX(0,MIN(G526,E526)-E526*0.8)*0.02)</x:f>
        <x:v>1656</x:v>
      </x:c>
      <x:c r="O526" s="74" t="n">
        <x:f>IF(E526&lt;=0,0,MAX(0,MIN(G526,E526*1.1)-E526)*0.035+MAX(0,G526-E526*1.1)*0.05)</x:f>
        <x:v>128.44020000000006</x:v>
      </x:c>
      <x:c r="P526" s="74" t="n">
        <x:f>N526+O526</x:f>
        <x:v>1784.4402</x:v>
      </x:c>
      <x:c r="Q526" s="76" t="n">
        <x:f>IF(G526&lt;=0,0,P526/G526)</x:f>
        <x:v>0.0125957769945476</x:v>
      </x:c>
    </x:row>
    <x:row r="527">
      <x:c r="A527" s="56" t="str">
        <x:v>EMP044</x:v>
      </x:c>
      <x:c r="B527" s="56" t="str">
        <x:v>Aiden Power</x:v>
      </x:c>
      <x:c r="C527" s="56" t="str">
        <x:v>AE II</x:v>
      </x:c>
      <x:c r="D527" s="56" t="str">
        <x:v>2026-10</x:v>
      </x:c>
      <x:c r="E527" s="72" t="n">
        <x:v>138000</x:v>
      </x:c>
      <x:c r="F527" s="72" t="n">
        <x:v>146943.99</x:v>
      </x:c>
      <x:c r="G527" s="72" t="n">
        <x:v>133991.21</x:v>
      </x:c>
      <x:c r="H527" s="72" t="n">
        <x:v>12952.78</x:v>
      </x:c>
      <x:c r="I527" s="56" t="n">
        <x:v>0</x:v>
      </x:c>
      <x:c r="J527" s="56" t="n">
        <x:v>0</x:v>
      </x:c>
      <x:c r="K527" s="68" t="n">
        <x:f>IF(E527&lt;=0,"",G527/E527)</x:f>
        <x:v>0.9709507971014493</x:v>
      </x:c>
      <x:c r="L527" t="str">
        <x:f>IF(K527="","Not Calculated",IF(K527&lt;0.8,"Below 80%",IF(K527&lt;1,"80%-99.99%",IF(K527&lt;1.1,"100%-109.99%",IF(K527&lt;1.75,"110%-174.99%","175%+ Review")))))</x:f>
        <x:v>80%-99.99%</x:v>
      </x:c>
      <x:c r="M527" s="56" t="str">
        <x:v>Ready for Commission Calculation</x:v>
      </x:c>
      <x:c r="N527" s="74" t="n">
        <x:f>IF(E527&lt;=0,0,MIN(G527,E527*0.8)*0.01+MAX(0,MIN(G527,E527)-E527*0.8)*0.02)</x:f>
        <x:v>1575.8241999999998</x:v>
      </x:c>
      <x:c r="O527" s="74" t="n">
        <x:f>IF(E527&lt;=0,0,MAX(0,MIN(G527,E527*1.1)-E527)*0.035+MAX(0,G527-E527*1.1)*0.05)</x:f>
        <x:v>0</x:v>
      </x:c>
      <x:c r="P527" s="74" t="n">
        <x:f>N527+O527</x:f>
        <x:v>1575.8241999999998</x:v>
      </x:c>
      <x:c r="Q527" s="76" t="n">
        <x:f>IF(G527&lt;=0,0,P527/G527)</x:f>
        <x:v>0.011760653553318907</x:v>
      </x:c>
    </x:row>
    <x:row r="528">
      <x:c r="A528" s="56" t="str">
        <x:v>EMP044</x:v>
      </x:c>
      <x:c r="B528" s="56" t="str">
        <x:v>Aiden Power</x:v>
      </x:c>
      <x:c r="C528" s="56" t="str">
        <x:v>AE II</x:v>
      </x:c>
      <x:c r="D528" s="56" t="str">
        <x:v>2026-11</x:v>
      </x:c>
      <x:c r="E528" s="72" t="n">
        <x:v>124200</x:v>
      </x:c>
      <x:c r="F528" s="72" t="n">
        <x:v>130095.95999999998</x:v>
      </x:c>
      <x:c r="G528" s="72" t="n">
        <x:v>129621.92999999998</x:v>
      </x:c>
      <x:c r="H528" s="72" t="n">
        <x:v>474.03</x:v>
      </x:c>
      <x:c r="I528" s="56" t="n">
        <x:v>0</x:v>
      </x:c>
      <x:c r="J528" s="56" t="n">
        <x:v>0</x:v>
      </x:c>
      <x:c r="K528" s="68" t="n">
        <x:f>IF(E528&lt;=0,"",G528/E528)</x:f>
        <x:v>1.0436548309178741</x:v>
      </x:c>
      <x:c r="L528" t="str">
        <x:f>IF(K528="","Not Calculated",IF(K528&lt;0.8,"Below 80%",IF(K528&lt;1,"80%-99.99%",IF(K528&lt;1.1,"100%-109.99%",IF(K528&lt;1.75,"110%-174.99%","175%+ Review")))))</x:f>
        <x:v>100%-109.99%</x:v>
      </x:c>
      <x:c r="M528" s="56" t="str">
        <x:v>Ready for Commission Calculation</x:v>
      </x:c>
      <x:c r="N528" s="74" t="n">
        <x:f>IF(E528&lt;=0,0,MIN(G528,E528*0.8)*0.01+MAX(0,MIN(G528,E528)-E528*0.8)*0.02)</x:f>
        <x:v>1490.4</x:v>
      </x:c>
      <x:c r="O528" s="74" t="n">
        <x:f>IF(E528&lt;=0,0,MAX(0,MIN(G528,E528*1.1)-E528)*0.035+MAX(0,G528-E528*1.1)*0.05)</x:f>
        <x:v>189.76754999999926</x:v>
      </x:c>
      <x:c r="P528" s="74" t="n">
        <x:f>N528+O528</x:f>
        <x:v>1680.1675499999994</x:v>
      </x:c>
      <x:c r="Q528" s="76" t="n">
        <x:f>IF(G528&lt;=0,0,P528/G528)</x:f>
        <x:v>0.012962062438045782</x:v>
      </x:c>
    </x:row>
    <x:row r="529">
      <x:c r="A529" s="56" t="str">
        <x:v>EMP044</x:v>
      </x:c>
      <x:c r="B529" s="56" t="str">
        <x:v>Aiden Power</x:v>
      </x:c>
      <x:c r="C529" s="56" t="str">
        <x:v>AE II</x:v>
      </x:c>
      <x:c r="D529" s="56" t="str">
        <x:v>2026-12</x:v>
      </x:c>
      <x:c r="E529" s="72" t="n">
        <x:v>138000</x:v>
      </x:c>
      <x:c r="F529" s="72" t="n">
        <x:v>140638.79</x:v>
      </x:c>
      <x:c r="G529" s="72" t="n">
        <x:v>140482.12000000002</x:v>
      </x:c>
      <x:c r="H529" s="72" t="n">
        <x:v>156.67</x:v>
      </x:c>
      <x:c r="I529" s="56" t="n">
        <x:v>0</x:v>
      </x:c>
      <x:c r="J529" s="56" t="n">
        <x:v>0</x:v>
      </x:c>
      <x:c r="K529" s="68" t="n">
        <x:f>IF(E529&lt;=0,"",G529/E529)</x:f>
        <x:v>1.0179863768115944</x:v>
      </x:c>
      <x:c r="L529" t="str">
        <x:f>IF(K529="","Not Calculated",IF(K529&lt;0.8,"Below 80%",IF(K529&lt;1,"80%-99.99%",IF(K529&lt;1.1,"100%-109.99%",IF(K529&lt;1.75,"110%-174.99%","175%+ Review")))))</x:f>
        <x:v>100%-109.99%</x:v>
      </x:c>
      <x:c r="M529" s="56" t="str">
        <x:v>Ready for Commission Calculation</x:v>
      </x:c>
      <x:c r="N529" s="74" t="n">
        <x:f>IF(E529&lt;=0,0,MIN(G529,E529*0.8)*0.01+MAX(0,MIN(G529,E529)-E529*0.8)*0.02)</x:f>
        <x:v>1656</x:v>
      </x:c>
      <x:c r="O529" s="74" t="n">
        <x:f>IF(E529&lt;=0,0,MAX(0,MIN(G529,E529*1.1)-E529)*0.035+MAX(0,G529-E529*1.1)*0.05)</x:f>
        <x:v>86.87420000000087</x:v>
      </x:c>
      <x:c r="P529" s="74" t="n">
        <x:f>N529+O529</x:f>
        <x:v>1742.8742000000009</x:v>
      </x:c>
      <x:c r="Q529" s="76" t="n">
        <x:f>IF(G529&lt;=0,0,P529/G529)</x:f>
        <x:v>0.012406377409452538</x:v>
      </x:c>
    </x:row>
    <x:row r="530">
      <x:c r="A530" s="56" t="str">
        <x:v>EMP045</x:v>
      </x:c>
      <x:c r="B530" s="56" t="str">
        <x:v>Claire MacKenzie</x:v>
      </x:c>
      <x:c r="C530" s="56" t="str">
        <x:v>AE II</x:v>
      </x:c>
      <x:c r="D530" s="56" t="str">
        <x:v>2026-01</x:v>
      </x:c>
      <x:c r="E530" s="72" t="n">
        <x:v>86800.00000000001</x:v>
      </x:c>
      <x:c r="F530" s="72" t="n">
        <x:v>79353.78</x:v>
      </x:c>
      <x:c r="G530" s="72" t="n">
        <x:v>79353.78</x:v>
      </x:c>
      <x:c r="H530" s="72" t="n">
        <x:v>0</x:v>
      </x:c>
      <x:c r="I530" s="56" t="n">
        <x:v>0</x:v>
      </x:c>
      <x:c r="J530" s="56" t="n">
        <x:v>0</x:v>
      </x:c>
      <x:c r="K530" s="68" t="n">
        <x:f>IF(E530&lt;=0,"",G530/E530)</x:f>
        <x:v>0.914214055299539</x:v>
      </x:c>
      <x:c r="L530" t="str">
        <x:f>IF(K530="","Not Calculated",IF(K530&lt;0.8,"Below 80%",IF(K530&lt;1,"80%-99.99%",IF(K530&lt;1.1,"100%-109.99%",IF(K530&lt;1.75,"110%-174.99%","175%+ Review")))))</x:f>
        <x:v>80%-99.99%</x:v>
      </x:c>
      <x:c r="M530" s="56" t="str">
        <x:v>Ready for Commission Calculation</x:v>
      </x:c>
      <x:c r="N530" s="74" t="n">
        <x:f>IF(E530&lt;=0,0,MIN(G530,E530*0.8)*0.01+MAX(0,MIN(G530,E530)-E530*0.8)*0.02)</x:f>
        <x:v>892.6755999999999</x:v>
      </x:c>
      <x:c r="O530" s="74" t="n">
        <x:f>IF(E530&lt;=0,0,MAX(0,MIN(G530,E530*1.1)-E530)*0.035+MAX(0,G530-E530*1.1)*0.05)</x:f>
        <x:v>0</x:v>
      </x:c>
      <x:c r="P530" s="74" t="n">
        <x:f>N530+O530</x:f>
        <x:v>892.6755999999999</x:v>
      </x:c>
      <x:c r="Q530" s="76" t="n">
        <x:f>IF(G530&lt;=0,0,P530/G530)</x:f>
        <x:v>0.011249314147353787</x:v>
      </x:c>
    </x:row>
    <x:row r="531">
      <x:c r="A531" s="56" t="str">
        <x:v>EMP045</x:v>
      </x:c>
      <x:c r="B531" s="56" t="str">
        <x:v>Claire MacKenzie</x:v>
      </x:c>
      <x:c r="C531" s="56" t="str">
        <x:v>AE II</x:v>
      </x:c>
      <x:c r="D531" s="56" t="str">
        <x:v>2026-02</x:v>
      </x:c>
      <x:c r="E531" s="72" t="n">
        <x:v>86800.00000000001</x:v>
      </x:c>
      <x:c r="F531" s="72" t="n">
        <x:v>86372.29000000001</x:v>
      </x:c>
      <x:c r="G531" s="72" t="n">
        <x:v>85726.81</x:v>
      </x:c>
      <x:c r="H531" s="72" t="n">
        <x:v>645.48</x:v>
      </x:c>
      <x:c r="I531" s="56" t="n">
        <x:v>0</x:v>
      </x:c>
      <x:c r="J531" s="56" t="n">
        <x:v>0</x:v>
      </x:c>
      <x:c r="K531" s="68" t="n">
        <x:f>IF(E531&lt;=0,"",G531/E531)</x:f>
        <x:v>0.9876360599078339</x:v>
      </x:c>
      <x:c r="L531" t="str">
        <x:f>IF(K531="","Not Calculated",IF(K531&lt;0.8,"Below 80%",IF(K531&lt;1,"80%-99.99%",IF(K531&lt;1.1,"100%-109.99%",IF(K531&lt;1.75,"110%-174.99%","175%+ Review")))))</x:f>
        <x:v>80%-99.99%</x:v>
      </x:c>
      <x:c r="M531" s="56" t="str">
        <x:v>Ready for Commission Calculation</x:v>
      </x:c>
      <x:c r="N531" s="74" t="n">
        <x:f>IF(E531&lt;=0,0,MIN(G531,E531*0.8)*0.01+MAX(0,MIN(G531,E531)-E531*0.8)*0.02)</x:f>
        <x:v>1020.1361999999999</x:v>
      </x:c>
      <x:c r="O531" s="74" t="n">
        <x:f>IF(E531&lt;=0,0,MAX(0,MIN(G531,E531*1.1)-E531)*0.035+MAX(0,G531-E531*1.1)*0.05)</x:f>
        <x:v>0</x:v>
      </x:c>
      <x:c r="P531" s="74" t="n">
        <x:f>N531+O531</x:f>
        <x:v>1020.1361999999999</x:v>
      </x:c>
      <x:c r="Q531" s="76" t="n">
        <x:f>IF(G531&lt;=0,0,P531/G531)</x:f>
        <x:v>0.01189985023355004</x:v>
      </x:c>
    </x:row>
    <x:row r="532">
      <x:c r="A532" s="56" t="str">
        <x:v>EMP045</x:v>
      </x:c>
      <x:c r="B532" s="56" t="str">
        <x:v>Claire MacKenzie</x:v>
      </x:c>
      <x:c r="C532" s="56" t="str">
        <x:v>AE II</x:v>
      </x:c>
      <x:c r="D532" s="56" t="str">
        <x:v>2026-03</x:v>
      </x:c>
      <x:c r="E532" s="72" t="n">
        <x:v>99200</x:v>
      </x:c>
      <x:c r="F532" s="72" t="n">
        <x:v>90495.62000000001</x:v>
      </x:c>
      <x:c r="G532" s="72" t="n">
        <x:v>90404.13</x:v>
      </x:c>
      <x:c r="H532" s="72" t="n">
        <x:v>91.49</x:v>
      </x:c>
      <x:c r="I532" s="56" t="n">
        <x:v>0</x:v>
      </x:c>
      <x:c r="J532" s="56" t="n">
        <x:v>0</x:v>
      </x:c>
      <x:c r="K532" s="68" t="n">
        <x:f>IF(E532&lt;=0,"",G532/E532)</x:f>
        <x:v>0.9113319556451613</x:v>
      </x:c>
      <x:c r="L532" t="str">
        <x:f>IF(K532="","Not Calculated",IF(K532&lt;0.8,"Below 80%",IF(K532&lt;1,"80%-99.99%",IF(K532&lt;1.1,"100%-109.99%",IF(K532&lt;1.75,"110%-174.99%","175%+ Review")))))</x:f>
        <x:v>80%-99.99%</x:v>
      </x:c>
      <x:c r="M532" s="56" t="str">
        <x:v>Ready for Commission Calculation</x:v>
      </x:c>
      <x:c r="N532" s="74" t="n">
        <x:f>IF(E532&lt;=0,0,MIN(G532,E532*0.8)*0.01+MAX(0,MIN(G532,E532)-E532*0.8)*0.02)</x:f>
        <x:v>1014.4826000000002</x:v>
      </x:c>
      <x:c r="O532" s="74" t="n">
        <x:f>IF(E532&lt;=0,0,MAX(0,MIN(G532,E532*1.1)-E532)*0.035+MAX(0,G532-E532*1.1)*0.05)</x:f>
        <x:v>0</x:v>
      </x:c>
      <x:c r="P532" s="74" t="n">
        <x:f>N532+O532</x:f>
        <x:v>1014.4826000000002</x:v>
      </x:c>
      <x:c r="Q532" s="76" t="n">
        <x:f>IF(G532&lt;=0,0,P532/G532)</x:f>
        <x:v>0.01122163998481043</x:v>
      </x:c>
    </x:row>
    <x:row r="533">
      <x:c r="A533" s="56" t="str">
        <x:v>EMP045</x:v>
      </x:c>
      <x:c r="B533" s="56" t="str">
        <x:v>Claire MacKenzie</x:v>
      </x:c>
      <x:c r="C533" s="56" t="str">
        <x:v>AE II</x:v>
      </x:c>
      <x:c r="D533" s="56" t="str">
        <x:v>2026-04</x:v>
      </x:c>
      <x:c r="E533" s="72" t="n">
        <x:v>99200</x:v>
      </x:c>
      <x:c r="F533" s="72" t="n">
        <x:v>95008.23</x:v>
      </x:c>
      <x:c r="G533" s="72" t="n">
        <x:v>94921.18</x:v>
      </x:c>
      <x:c r="H533" s="72" t="n">
        <x:v>87.05</x:v>
      </x:c>
      <x:c r="I533" s="56" t="n">
        <x:v>0</x:v>
      </x:c>
      <x:c r="J533" s="56" t="n">
        <x:v>0</x:v>
      </x:c>
      <x:c r="K533" s="68" t="n">
        <x:f>IF(E533&lt;=0,"",G533/E533)</x:f>
        <x:v>0.9568667338709677</x:v>
      </x:c>
      <x:c r="L533" t="str">
        <x:f>IF(K533="","Not Calculated",IF(K533&lt;0.8,"Below 80%",IF(K533&lt;1,"80%-99.99%",IF(K533&lt;1.1,"100%-109.99%",IF(K533&lt;1.75,"110%-174.99%","175%+ Review")))))</x:f>
        <x:v>80%-99.99%</x:v>
      </x:c>
      <x:c r="M533" s="56" t="str">
        <x:v>Ready for Commission Calculation</x:v>
      </x:c>
      <x:c r="N533" s="74" t="n">
        <x:f>IF(E533&lt;=0,0,MIN(G533,E533*0.8)*0.01+MAX(0,MIN(G533,E533)-E533*0.8)*0.02)</x:f>
        <x:v>1104.8236</x:v>
      </x:c>
      <x:c r="O533" s="74" t="n">
        <x:f>IF(E533&lt;=0,0,MAX(0,MIN(G533,E533*1.1)-E533)*0.035+MAX(0,G533-E533*1.1)*0.05)</x:f>
        <x:v>0</x:v>
      </x:c>
      <x:c r="P533" s="74" t="n">
        <x:f>N533+O533</x:f>
        <x:v>1104.8236</x:v>
      </x:c>
      <x:c r="Q533" s="76" t="n">
        <x:f>IF(G533&lt;=0,0,P533/G533)</x:f>
        <x:v>0.011639379114334651</x:v>
      </x:c>
    </x:row>
    <x:row r="534">
      <x:c r="A534" s="56" t="str">
        <x:v>EMP045</x:v>
      </x:c>
      <x:c r="B534" s="56" t="str">
        <x:v>Claire MacKenzie</x:v>
      </x:c>
      <x:c r="C534" s="56" t="str">
        <x:v>AE II</x:v>
      </x:c>
      <x:c r="D534" s="56" t="str">
        <x:v>2026-05</x:v>
      </x:c>
      <x:c r="E534" s="72" t="n">
        <x:v>99200</x:v>
      </x:c>
      <x:c r="F534" s="72" t="n">
        <x:v>116129.16</x:v>
      </x:c>
      <x:c r="G534" s="72" t="n">
        <x:v>101949.29000000001</x:v>
      </x:c>
      <x:c r="H534" s="72" t="n">
        <x:v>14179.87</x:v>
      </x:c>
      <x:c r="I534" s="56" t="n">
        <x:v>0</x:v>
      </x:c>
      <x:c r="J534" s="56" t="n">
        <x:v>0</x:v>
      </x:c>
      <x:c r="K534" s="68" t="n">
        <x:f>IF(E534&lt;=0,"",G534/E534)</x:f>
        <x:v>1.027714616935484</x:v>
      </x:c>
      <x:c r="L534" t="str">
        <x:f>IF(K534="","Not Calculated",IF(K534&lt;0.8,"Below 80%",IF(K534&lt;1,"80%-99.99%",IF(K534&lt;1.1,"100%-109.99%",IF(K534&lt;1.75,"110%-174.99%","175%+ Review")))))</x:f>
        <x:v>100%-109.99%</x:v>
      </x:c>
      <x:c r="M534" s="56" t="str">
        <x:v>Ready for Commission Calculation</x:v>
      </x:c>
      <x:c r="N534" s="74" t="n">
        <x:f>IF(E534&lt;=0,0,MIN(G534,E534*0.8)*0.01+MAX(0,MIN(G534,E534)-E534*0.8)*0.02)</x:f>
        <x:v>1190.4</x:v>
      </x:c>
      <x:c r="O534" s="74" t="n">
        <x:f>IF(E534&lt;=0,0,MAX(0,MIN(G534,E534*1.1)-E534)*0.035+MAX(0,G534-E534*1.1)*0.05)</x:f>
        <x:v>96.2251500000003</x:v>
      </x:c>
      <x:c r="P534" s="74" t="n">
        <x:f>N534+O534</x:f>
        <x:v>1286.6251500000003</x:v>
      </x:c>
      <x:c r="Q534" s="76" t="n">
        <x:f>IF(G534&lt;=0,0,P534/G534)</x:f>
        <x:v>0.012620246300881549</x:v>
      </x:c>
    </x:row>
    <x:row r="535">
      <x:c r="A535" s="56" t="str">
        <x:v>EMP045</x:v>
      </x:c>
      <x:c r="B535" s="56" t="str">
        <x:v>Claire MacKenzie</x:v>
      </x:c>
      <x:c r="C535" s="56" t="str">
        <x:v>AE II</x:v>
      </x:c>
      <x:c r="D535" s="56" t="str">
        <x:v>2026-06</x:v>
      </x:c>
      <x:c r="E535" s="72" t="n">
        <x:v>111600</x:v>
      </x:c>
      <x:c r="F535" s="72" t="n">
        <x:v>112614.08000000002</x:v>
      </x:c>
      <x:c r="G535" s="72" t="n">
        <x:v>112198.25</x:v>
      </x:c>
      <x:c r="H535" s="72" t="n">
        <x:v>415.83</x:v>
      </x:c>
      <x:c r="I535" s="56" t="n">
        <x:v>0</x:v>
      </x:c>
      <x:c r="J535" s="56" t="n">
        <x:v>0</x:v>
      </x:c>
      <x:c r="K535" s="68" t="n">
        <x:f>IF(E535&lt;=0,"",G535/E535)</x:f>
        <x:v>1.0053606630824372</x:v>
      </x:c>
      <x:c r="L535" t="str">
        <x:f>IF(K535="","Not Calculated",IF(K535&lt;0.8,"Below 80%",IF(K535&lt;1,"80%-99.99%",IF(K535&lt;1.1,"100%-109.99%",IF(K535&lt;1.75,"110%-174.99%","175%+ Review")))))</x:f>
        <x:v>100%-109.99%</x:v>
      </x:c>
      <x:c r="M535" s="56" t="str">
        <x:v>Ready for Commission Calculation</x:v>
      </x:c>
      <x:c r="N535" s="74" t="n">
        <x:f>IF(E535&lt;=0,0,MIN(G535,E535*0.8)*0.01+MAX(0,MIN(G535,E535)-E535*0.8)*0.02)</x:f>
        <x:v>1339.2</x:v>
      </x:c>
      <x:c r="O535" s="74" t="n">
        <x:f>IF(E535&lt;=0,0,MAX(0,MIN(G535,E535*1.1)-E535)*0.035+MAX(0,G535-E535*1.1)*0.05)</x:f>
        <x:v>20.938750000000002</x:v>
      </x:c>
      <x:c r="P535" s="74" t="n">
        <x:f>N535+O535</x:f>
        <x:v>1360.13875</x:v>
      </x:c>
      <x:c r="Q535" s="76" t="n">
        <x:f>IF(G535&lt;=0,0,P535/G535)</x:f>
        <x:v>0.012122637830803957</x:v>
      </x:c>
    </x:row>
    <x:row r="536">
      <x:c r="A536" s="56" t="str">
        <x:v>EMP045</x:v>
      </x:c>
      <x:c r="B536" s="56" t="str">
        <x:v>Claire MacKenzie</x:v>
      </x:c>
      <x:c r="C536" s="56" t="str">
        <x:v>AE II</x:v>
      </x:c>
      <x:c r="D536" s="56" t="str">
        <x:v>2026-07</x:v>
      </x:c>
      <x:c r="E536" s="72" t="n">
        <x:v>86800.00000000001</x:v>
      </x:c>
      <x:c r="F536" s="72" t="n">
        <x:v>85613.42000000001</x:v>
      </x:c>
      <x:c r="G536" s="72" t="n">
        <x:v>83870.01000000001</x:v>
      </x:c>
      <x:c r="H536" s="72" t="n">
        <x:v>1743.41</x:v>
      </x:c>
      <x:c r="I536" s="56" t="n">
        <x:v>0</x:v>
      </x:c>
      <x:c r="J536" s="56" t="n">
        <x:v>0</x:v>
      </x:c>
      <x:c r="K536" s="68" t="n">
        <x:f>IF(E536&lt;=0,"",G536/E536)</x:f>
        <x:v>0.9662443548387096</x:v>
      </x:c>
      <x:c r="L536" t="str">
        <x:f>IF(K536="","Not Calculated",IF(K536&lt;0.8,"Below 80%",IF(K536&lt;1,"80%-99.99%",IF(K536&lt;1.1,"100%-109.99%",IF(K536&lt;1.75,"110%-174.99%","175%+ Review")))))</x:f>
        <x:v>80%-99.99%</x:v>
      </x:c>
      <x:c r="M536" s="56" t="str">
        <x:v>Ready for Commission Calculation</x:v>
      </x:c>
      <x:c r="N536" s="74" t="n">
        <x:f>IF(E536&lt;=0,0,MIN(G536,E536*0.8)*0.01+MAX(0,MIN(G536,E536)-E536*0.8)*0.02)</x:f>
        <x:v>983.0002000000002</x:v>
      </x:c>
      <x:c r="O536" s="74" t="n">
        <x:f>IF(E536&lt;=0,0,MAX(0,MIN(G536,E536*1.1)-E536)*0.035+MAX(0,G536-E536*1.1)*0.05)</x:f>
        <x:v>0</x:v>
      </x:c>
      <x:c r="P536" s="74" t="n">
        <x:f>N536+O536</x:f>
        <x:v>983.0002000000002</x:v>
      </x:c>
      <x:c r="Q536" s="76" t="n">
        <x:f>IF(G536&lt;=0,0,P536/G536)</x:f>
        <x:v>0.0117205208393322</x:v>
      </x:c>
    </x:row>
    <x:row r="537">
      <x:c r="A537" s="56" t="str">
        <x:v>EMP045</x:v>
      </x:c>
      <x:c r="B537" s="56" t="str">
        <x:v>Claire MacKenzie</x:v>
      </x:c>
      <x:c r="C537" s="56" t="str">
        <x:v>AE II</x:v>
      </x:c>
      <x:c r="D537" s="56" t="str">
        <x:v>2026-08</x:v>
      </x:c>
      <x:c r="E537" s="72" t="n">
        <x:v>86800.00000000001</x:v>
      </x:c>
      <x:c r="F537" s="72" t="n">
        <x:v>80868.47</x:v>
      </x:c>
      <x:c r="G537" s="72" t="n">
        <x:v>80868.47</x:v>
      </x:c>
      <x:c r="H537" s="72" t="n">
        <x:v>0</x:v>
      </x:c>
      <x:c r="I537" s="56" t="n">
        <x:v>0</x:v>
      </x:c>
      <x:c r="J537" s="56" t="n">
        <x:v>0</x:v>
      </x:c>
      <x:c r="K537" s="68" t="n">
        <x:f>IF(E537&lt;=0,"",G537/E537)</x:f>
        <x:v>0.9316644009216588</x:v>
      </x:c>
      <x:c r="L537" t="str">
        <x:f>IF(K537="","Not Calculated",IF(K537&lt;0.8,"Below 80%",IF(K537&lt;1,"80%-99.99%",IF(K537&lt;1.1,"100%-109.99%",IF(K537&lt;1.75,"110%-174.99%","175%+ Review")))))</x:f>
        <x:v>80%-99.99%</x:v>
      </x:c>
      <x:c r="M537" s="56" t="str">
        <x:v>Ready for Commission Calculation</x:v>
      </x:c>
      <x:c r="N537" s="74" t="n">
        <x:f>IF(E537&lt;=0,0,MIN(G537,E537*0.8)*0.01+MAX(0,MIN(G537,E537)-E537*0.8)*0.02)</x:f>
        <x:v>922.9694</x:v>
      </x:c>
      <x:c r="O537" s="74" t="n">
        <x:f>IF(E537&lt;=0,0,MAX(0,MIN(G537,E537*1.1)-E537)*0.035+MAX(0,G537-E537*1.1)*0.05)</x:f>
        <x:v>0</x:v>
      </x:c>
      <x:c r="P537" s="74" t="n">
        <x:f>N537+O537</x:f>
        <x:v>922.9694</x:v>
      </x:c>
      <x:c r="Q537" s="76" t="n">
        <x:f>IF(G537&lt;=0,0,P537/G537)</x:f>
        <x:v>0.011413217042439408</x:v>
      </x:c>
    </x:row>
    <x:row r="538">
      <x:c r="A538" s="56" t="str">
        <x:v>EMP045</x:v>
      </x:c>
      <x:c r="B538" s="56" t="str">
        <x:v>Claire MacKenzie</x:v>
      </x:c>
      <x:c r="C538" s="56" t="str">
        <x:v>AE II</x:v>
      </x:c>
      <x:c r="D538" s="56" t="str">
        <x:v>2026-09</x:v>
      </x:c>
      <x:c r="E538" s="72" t="n">
        <x:v>124000</x:v>
      </x:c>
      <x:c r="F538" s="72" t="n">
        <x:v>133221.6</x:v>
      </x:c>
      <x:c r="G538" s="72" t="n">
        <x:v>130497.05</x:v>
      </x:c>
      <x:c r="H538" s="72" t="n">
        <x:v>2724.55</x:v>
      </x:c>
      <x:c r="I538" s="56" t="n">
        <x:v>0</x:v>
      </x:c>
      <x:c r="J538" s="56" t="n">
        <x:v>0</x:v>
      </x:c>
      <x:c r="K538" s="68" t="n">
        <x:f>IF(E538&lt;=0,"",G538/E538)</x:f>
        <x:v>1.0523955645161291</x:v>
      </x:c>
      <x:c r="L538" t="str">
        <x:f>IF(K538="","Not Calculated",IF(K538&lt;0.8,"Below 80%",IF(K538&lt;1,"80%-99.99%",IF(K538&lt;1.1,"100%-109.99%",IF(K538&lt;1.75,"110%-174.99%","175%+ Review")))))</x:f>
        <x:v>100%-109.99%</x:v>
      </x:c>
      <x:c r="M538" s="56" t="str">
        <x:v>Ready for Commission Calculation</x:v>
      </x:c>
      <x:c r="N538" s="74" t="n">
        <x:f>IF(E538&lt;=0,0,MIN(G538,E538*0.8)*0.01+MAX(0,MIN(G538,E538)-E538*0.8)*0.02)</x:f>
        <x:v>1488</x:v>
      </x:c>
      <x:c r="O538" s="74" t="n">
        <x:f>IF(E538&lt;=0,0,MAX(0,MIN(G538,E538*1.1)-E538)*0.035+MAX(0,G538-E538*1.1)*0.05)</x:f>
        <x:v>227.3967500000001</x:v>
      </x:c>
      <x:c r="P538" s="74" t="n">
        <x:f>N538+O538</x:f>
        <x:v>1715.39675</x:v>
      </x:c>
      <x:c r="Q538" s="76" t="n">
        <x:f>IF(G538&lt;=0,0,P538/G538)</x:f>
        <x:v>0.01314509983175865</x:v>
      </x:c>
    </x:row>
    <x:row r="539">
      <x:c r="A539" s="56" t="str">
        <x:v>EMP045</x:v>
      </x:c>
      <x:c r="B539" s="56" t="str">
        <x:v>Claire MacKenzie</x:v>
      </x:c>
      <x:c r="C539" s="56" t="str">
        <x:v>AE II</x:v>
      </x:c>
      <x:c r="D539" s="56" t="str">
        <x:v>2026-10</x:v>
      </x:c>
      <x:c r="E539" s="72" t="n">
        <x:v>124000</x:v>
      </x:c>
      <x:c r="F539" s="72" t="n">
        <x:v>112286.86</x:v>
      </x:c>
      <x:c r="G539" s="72" t="n">
        <x:v>112286.86</x:v>
      </x:c>
      <x:c r="H539" s="72" t="n">
        <x:v>0</x:v>
      </x:c>
      <x:c r="I539" s="56" t="n">
        <x:v>0</x:v>
      </x:c>
      <x:c r="J539" s="56" t="n">
        <x:v>0</x:v>
      </x:c>
      <x:c r="K539" s="68" t="n">
        <x:f>IF(E539&lt;=0,"",G539/E539)</x:f>
        <x:v>0.9055391935483871</x:v>
      </x:c>
      <x:c r="L539" t="str">
        <x:f>IF(K539="","Not Calculated",IF(K539&lt;0.8,"Below 80%",IF(K539&lt;1,"80%-99.99%",IF(K539&lt;1.1,"100%-109.99%",IF(K539&lt;1.75,"110%-174.99%","175%+ Review")))))</x:f>
        <x:v>80%-99.99%</x:v>
      </x:c>
      <x:c r="M539" s="56" t="str">
        <x:v>Ready for Commission Calculation</x:v>
      </x:c>
      <x:c r="N539" s="74" t="n">
        <x:f>IF(E539&lt;=0,0,MIN(G539,E539*0.8)*0.01+MAX(0,MIN(G539,E539)-E539*0.8)*0.02)</x:f>
        <x:v>1253.7372</x:v>
      </x:c>
      <x:c r="O539" s="74" t="n">
        <x:f>IF(E539&lt;=0,0,MAX(0,MIN(G539,E539*1.1)-E539)*0.035+MAX(0,G539-E539*1.1)*0.05)</x:f>
        <x:v>0</x:v>
      </x:c>
      <x:c r="P539" s="74" t="n">
        <x:f>N539+O539</x:f>
        <x:v>1253.7372</x:v>
      </x:c>
      <x:c r="Q539" s="76" t="n">
        <x:f>IF(G539&lt;=0,0,P539/G539)</x:f>
        <x:v>0.011165484545564815</x:v>
      </x:c>
    </x:row>
    <x:row r="540">
      <x:c r="A540" s="56" t="str">
        <x:v>EMP045</x:v>
      </x:c>
      <x:c r="B540" s="56" t="str">
        <x:v>Claire MacKenzie</x:v>
      </x:c>
      <x:c r="C540" s="56" t="str">
        <x:v>AE II</x:v>
      </x:c>
      <x:c r="D540" s="56" t="str">
        <x:v>2026-11</x:v>
      </x:c>
      <x:c r="E540" s="72" t="n">
        <x:v>111600</x:v>
      </x:c>
      <x:c r="F540" s="72" t="n">
        <x:v>105652.63999999998</x:v>
      </x:c>
      <x:c r="G540" s="72" t="n">
        <x:v>105329.62999999999</x:v>
      </x:c>
      <x:c r="H540" s="72" t="n">
        <x:v>323.01</x:v>
      </x:c>
      <x:c r="I540" s="56" t="n">
        <x:v>0</x:v>
      </x:c>
      <x:c r="J540" s="56" t="n">
        <x:v>0</x:v>
      </x:c>
      <x:c r="K540" s="68" t="n">
        <x:f>IF(E540&lt;=0,"",G540/E540)</x:f>
        <x:v>0.9438138888888888</x:v>
      </x:c>
      <x:c r="L540" t="str">
        <x:f>IF(K540="","Not Calculated",IF(K540&lt;0.8,"Below 80%",IF(K540&lt;1,"80%-99.99%",IF(K540&lt;1.1,"100%-109.99%",IF(K540&lt;1.75,"110%-174.99%","175%+ Review")))))</x:f>
        <x:v>80%-99.99%</x:v>
      </x:c>
      <x:c r="M540" s="56" t="str">
        <x:v>Ready for Commission Calculation</x:v>
      </x:c>
      <x:c r="N540" s="74" t="n">
        <x:f>IF(E540&lt;=0,0,MIN(G540,E540*0.8)*0.01+MAX(0,MIN(G540,E540)-E540*0.8)*0.02)</x:f>
        <x:v>1213.7925999999998</x:v>
      </x:c>
      <x:c r="O540" s="74" t="n">
        <x:f>IF(E540&lt;=0,0,MAX(0,MIN(G540,E540*1.1)-E540)*0.035+MAX(0,G540-E540*1.1)*0.05)</x:f>
        <x:v>0</x:v>
      </x:c>
      <x:c r="P540" s="74" t="n">
        <x:f>N540+O540</x:f>
        <x:v>1213.7925999999998</x:v>
      </x:c>
      <x:c r="Q540" s="76" t="n">
        <x:f>IF(G540&lt;=0,0,P540/G540)</x:f>
        <x:v>0.011523752623074816</x:v>
      </x:c>
    </x:row>
    <x:row r="541">
      <x:c r="A541" s="56" t="str">
        <x:v>EMP045</x:v>
      </x:c>
      <x:c r="B541" s="56" t="str">
        <x:v>Claire MacKenzie</x:v>
      </x:c>
      <x:c r="C541" s="56" t="str">
        <x:v>AE II</x:v>
      </x:c>
      <x:c r="D541" s="56" t="str">
        <x:v>2026-12</x:v>
      </x:c>
      <x:c r="E541" s="72" t="n">
        <x:v>124000</x:v>
      </x:c>
      <x:c r="F541" s="72" t="n">
        <x:v>134581.28000000003</x:v>
      </x:c>
      <x:c r="G541" s="72" t="n">
        <x:v>134462.36000000002</x:v>
      </x:c>
      <x:c r="H541" s="72" t="n">
        <x:v>118.92</x:v>
      </x:c>
      <x:c r="I541" s="56" t="n">
        <x:v>0</x:v>
      </x:c>
      <x:c r="J541" s="56" t="n">
        <x:v>0</x:v>
      </x:c>
      <x:c r="K541" s="68" t="n">
        <x:f>IF(E541&lt;=0,"",G541/E541)</x:f>
        <x:v>1.084373870967742</x:v>
      </x:c>
      <x:c r="L541" t="str">
        <x:f>IF(K541="","Not Calculated",IF(K541&lt;0.8,"Below 80%",IF(K541&lt;1,"80%-99.99%",IF(K541&lt;1.1,"100%-109.99%",IF(K541&lt;1.75,"110%-174.99%","175%+ Review")))))</x:f>
        <x:v>100%-109.99%</x:v>
      </x:c>
      <x:c r="M541" s="56" t="str">
        <x:v>Ready for Commission Calculation</x:v>
      </x:c>
      <x:c r="N541" s="74" t="n">
        <x:f>IF(E541&lt;=0,0,MIN(G541,E541*0.8)*0.01+MAX(0,MIN(G541,E541)-E541*0.8)*0.02)</x:f>
        <x:v>1488</x:v>
      </x:c>
      <x:c r="O541" s="74" t="n">
        <x:f>IF(E541&lt;=0,0,MAX(0,MIN(G541,E541*1.1)-E541)*0.035+MAX(0,G541-E541*1.1)*0.05)</x:f>
        <x:v>366.18260000000055</x:v>
      </x:c>
      <x:c r="P541" s="74" t="n">
        <x:f>N541+O541</x:f>
        <x:v>1854.1826000000005</x:v>
      </x:c>
      <x:c r="Q541" s="76" t="n">
        <x:f>IF(G541&lt;=0,0,P541/G541)</x:f>
        <x:v>0.013789603276336965</x:v>
      </x:c>
    </x:row>
    <x:row r="542">
      <x:c r="A542" s="56" t="str">
        <x:v>EMP046</x:v>
      </x:c>
      <x:c r="B542" s="56" t="str">
        <x:v>Daniel Okafor</x:v>
      </x:c>
      <x:c r="C542" s="56" t="str">
        <x:v>AE II</x:v>
      </x:c>
      <x:c r="D542" s="56" t="str">
        <x:v>2026-01</x:v>
      </x:c>
      <x:c r="E542" s="72" t="n">
        <x:v>88900.00000000001</x:v>
      </x:c>
      <x:c r="F542" s="72" t="n">
        <x:v>96493.06</x:v>
      </x:c>
      <x:c r="G542" s="72" t="n">
        <x:v>95664.31</x:v>
      </x:c>
      <x:c r="H542" s="72" t="n">
        <x:v>828.75</x:v>
      </x:c>
      <x:c r="I542" s="56" t="n">
        <x:v>0</x:v>
      </x:c>
      <x:c r="J542" s="56" t="n">
        <x:v>0</x:v>
      </x:c>
      <x:c r="K542" s="68" t="n">
        <x:f>IF(E542&lt;=0,"",G542/E542)</x:f>
        <x:v>1.0760889763779526</x:v>
      </x:c>
      <x:c r="L542" t="str">
        <x:f>IF(K542="","Not Calculated",IF(K542&lt;0.8,"Below 80%",IF(K542&lt;1,"80%-99.99%",IF(K542&lt;1.1,"100%-109.99%",IF(K542&lt;1.75,"110%-174.99%","175%+ Review")))))</x:f>
        <x:v>100%-109.99%</x:v>
      </x:c>
      <x:c r="M542" s="56" t="str">
        <x:v>Ready for Commission Calculation</x:v>
      </x:c>
      <x:c r="N542" s="74" t="n">
        <x:f>IF(E542&lt;=0,0,MIN(G542,E542*0.8)*0.01+MAX(0,MIN(G542,E542)-E542*0.8)*0.02)</x:f>
        <x:v>1066.8000000000002</x:v>
      </x:c>
      <x:c r="O542" s="74" t="n">
        <x:f>IF(E542&lt;=0,0,MAX(0,MIN(G542,E542*1.1)-E542)*0.035+MAX(0,G542-E542*1.1)*0.05)</x:f>
        <x:v>236.75084999999945</x:v>
      </x:c>
      <x:c r="P542" s="74" t="n">
        <x:f>N542+O542</x:f>
        <x:v>1303.5508499999996</x:v>
      </x:c>
      <x:c r="Q542" s="76" t="n">
        <x:f>IF(G542&lt;=0,0,P542/G542)</x:f>
        <x:v>0.013626302745506655</x:v>
      </x:c>
    </x:row>
    <x:row r="543">
      <x:c r="A543" s="56" t="str">
        <x:v>EMP046</x:v>
      </x:c>
      <x:c r="B543" s="56" t="str">
        <x:v>Daniel Okafor</x:v>
      </x:c>
      <x:c r="C543" s="56" t="str">
        <x:v>AE II</x:v>
      </x:c>
      <x:c r="D543" s="56" t="str">
        <x:v>2026-02</x:v>
      </x:c>
      <x:c r="E543" s="72" t="n">
        <x:v>88900.00000000001</x:v>
      </x:c>
      <x:c r="F543" s="72" t="n">
        <x:v>107981.04</x:v>
      </x:c>
      <x:c r="G543" s="72" t="n">
        <x:v>92695.36</x:v>
      </x:c>
      <x:c r="H543" s="72" t="n">
        <x:v>15285.679999999998</x:v>
      </x:c>
      <x:c r="I543" s="56" t="n">
        <x:v>0</x:v>
      </x:c>
      <x:c r="J543" s="56" t="n">
        <x:v>0</x:v>
      </x:c>
      <x:c r="K543" s="68" t="n">
        <x:f>IF(E543&lt;=0,"",G543/E543)</x:f>
        <x:v>1.0426924634420696</x:v>
      </x:c>
      <x:c r="L543" t="str">
        <x:f>IF(K543="","Not Calculated",IF(K543&lt;0.8,"Below 80%",IF(K543&lt;1,"80%-99.99%",IF(K543&lt;1.1,"100%-109.99%",IF(K543&lt;1.75,"110%-174.99%","175%+ Review")))))</x:f>
        <x:v>100%-109.99%</x:v>
      </x:c>
      <x:c r="M543" s="56" t="str">
        <x:v>Ready for Commission Calculation</x:v>
      </x:c>
      <x:c r="N543" s="74" t="n">
        <x:f>IF(E543&lt;=0,0,MIN(G543,E543*0.8)*0.01+MAX(0,MIN(G543,E543)-E543*0.8)*0.02)</x:f>
        <x:v>1066.8000000000002</x:v>
      </x:c>
      <x:c r="O543" s="74" t="n">
        <x:f>IF(E543&lt;=0,0,MAX(0,MIN(G543,E543*1.1)-E543)*0.035+MAX(0,G543-E543*1.1)*0.05)</x:f>
        <x:v>132.83759999999953</x:v>
      </x:c>
      <x:c r="P543" s="74" t="n">
        <x:f>N543+O543</x:f>
        <x:v>1199.6375999999998</x:v>
      </x:c>
      <x:c r="Q543" s="76" t="n">
        <x:f>IF(G543&lt;=0,0,P543/G543)</x:f>
        <x:v>0.012941722217811116</x:v>
      </x:c>
    </x:row>
    <x:row r="544">
      <x:c r="A544" s="56" t="str">
        <x:v>EMP046</x:v>
      </x:c>
      <x:c r="B544" s="56" t="str">
        <x:v>Daniel Okafor</x:v>
      </x:c>
      <x:c r="C544" s="56" t="str">
        <x:v>AE II</x:v>
      </x:c>
      <x:c r="D544" s="56" t="str">
        <x:v>2026-03</x:v>
      </x:c>
      <x:c r="E544" s="72" t="n">
        <x:v>101600</x:v>
      </x:c>
      <x:c r="F544" s="72" t="n">
        <x:v>110104.77</x:v>
      </x:c>
      <x:c r="G544" s="72" t="n">
        <x:v>110104.77</x:v>
      </x:c>
      <x:c r="H544" s="72" t="n">
        <x:v>0</x:v>
      </x:c>
      <x:c r="I544" s="56" t="n">
        <x:v>0</x:v>
      </x:c>
      <x:c r="J544" s="56" t="n">
        <x:v>0</x:v>
      </x:c>
      <x:c r="K544" s="68" t="n">
        <x:f>IF(E544&lt;=0,"",G544/E544)</x:f>
        <x:v>1.0837083661417324</x:v>
      </x:c>
      <x:c r="L544" t="str">
        <x:f>IF(K544="","Not Calculated",IF(K544&lt;0.8,"Below 80%",IF(K544&lt;1,"80%-99.99%",IF(K544&lt;1.1,"100%-109.99%",IF(K544&lt;1.75,"110%-174.99%","175%+ Review")))))</x:f>
        <x:v>100%-109.99%</x:v>
      </x:c>
      <x:c r="M544" s="56" t="str">
        <x:v>Ready for Commission Calculation</x:v>
      </x:c>
      <x:c r="N544" s="74" t="n">
        <x:f>IF(E544&lt;=0,0,MIN(G544,E544*0.8)*0.01+MAX(0,MIN(G544,E544)-E544*0.8)*0.02)</x:f>
        <x:v>1219.2</x:v>
      </x:c>
      <x:c r="O544" s="74" t="n">
        <x:f>IF(E544&lt;=0,0,MAX(0,MIN(G544,E544*1.1)-E544)*0.035+MAX(0,G544-E544*1.1)*0.05)</x:f>
        <x:v>297.66695000000016</x:v>
      </x:c>
      <x:c r="P544" s="74" t="n">
        <x:f>N544+O544</x:f>
        <x:v>1516.86695</x:v>
      </x:c>
      <x:c r="Q544" s="76" t="n">
        <x:f>IF(G544&lt;=0,0,P544/G544)</x:f>
        <x:v>0.013776577981135605</x:v>
      </x:c>
    </x:row>
    <x:row r="545">
      <x:c r="A545" s="56" t="str">
        <x:v>EMP046</x:v>
      </x:c>
      <x:c r="B545" s="56" t="str">
        <x:v>Daniel Okafor</x:v>
      </x:c>
      <x:c r="C545" s="56" t="str">
        <x:v>AE II</x:v>
      </x:c>
      <x:c r="D545" s="56" t="str">
        <x:v>2026-04</x:v>
      </x:c>
      <x:c r="E545" s="72" t="n">
        <x:v>101600</x:v>
      </x:c>
      <x:c r="F545" s="72" t="n">
        <x:v>100462.86</x:v>
      </x:c>
      <x:c r="G545" s="72" t="n">
        <x:v>99938.41</x:v>
      </x:c>
      <x:c r="H545" s="72" t="n">
        <x:v>524.45</x:v>
      </x:c>
      <x:c r="I545" s="56" t="n">
        <x:v>0</x:v>
      </x:c>
      <x:c r="J545" s="56" t="n">
        <x:v>0</x:v>
      </x:c>
      <x:c r="K545" s="68" t="n">
        <x:f>IF(E545&lt;=0,"",G545/E545)</x:f>
        <x:v>0.9836457677165354</x:v>
      </x:c>
      <x:c r="L545" t="str">
        <x:f>IF(K545="","Not Calculated",IF(K545&lt;0.8,"Below 80%",IF(K545&lt;1,"80%-99.99%",IF(K545&lt;1.1,"100%-109.99%",IF(K545&lt;1.75,"110%-174.99%","175%+ Review")))))</x:f>
        <x:v>80%-99.99%</x:v>
      </x:c>
      <x:c r="M545" s="56" t="str">
        <x:v>Ready for Commission Calculation</x:v>
      </x:c>
      <x:c r="N545" s="74" t="n">
        <x:f>IF(E545&lt;=0,0,MIN(G545,E545*0.8)*0.01+MAX(0,MIN(G545,E545)-E545*0.8)*0.02)</x:f>
        <x:v>1185.9682000000003</x:v>
      </x:c>
      <x:c r="O545" s="74" t="n">
        <x:f>IF(E545&lt;=0,0,MAX(0,MIN(G545,E545*1.1)-E545)*0.035+MAX(0,G545-E545*1.1)*0.05)</x:f>
        <x:v>0</x:v>
      </x:c>
      <x:c r="P545" s="74" t="n">
        <x:f>N545+O545</x:f>
        <x:v>1185.9682000000003</x:v>
      </x:c>
      <x:c r="Q545" s="76" t="n">
        <x:f>IF(G545&lt;=0,0,P545/G545)</x:f>
        <x:v>0.011866990879682798</x:v>
      </x:c>
    </x:row>
    <x:row r="546">
      <x:c r="A546" s="56" t="str">
        <x:v>EMP046</x:v>
      </x:c>
      <x:c r="B546" s="56" t="str">
        <x:v>Daniel Okafor</x:v>
      </x:c>
      <x:c r="C546" s="56" t="str">
        <x:v>AE II</x:v>
      </x:c>
      <x:c r="D546" s="56" t="str">
        <x:v>2026-05</x:v>
      </x:c>
      <x:c r="E546" s="72" t="n">
        <x:v>101600</x:v>
      </x:c>
      <x:c r="F546" s="72" t="n">
        <x:v>115433.75000000001</x:v>
      </x:c>
      <x:c r="G546" s="72" t="n">
        <x:v>115433.75000000001</x:v>
      </x:c>
      <x:c r="H546" s="72" t="n">
        <x:v>0</x:v>
      </x:c>
      <x:c r="I546" s="56" t="n">
        <x:v>0</x:v>
      </x:c>
      <x:c r="J546" s="56" t="n">
        <x:v>0</x:v>
      </x:c>
      <x:c r="K546" s="68" t="n">
        <x:f>IF(E546&lt;=0,"",G546/E546)</x:f>
        <x:v>1.1361589566929136</x:v>
      </x:c>
      <x:c r="L546" t="str">
        <x:f>IF(K546="","Not Calculated",IF(K546&lt;0.8,"Below 80%",IF(K546&lt;1,"80%-99.99%",IF(K546&lt;1.1,"100%-109.99%",IF(K546&lt;1.75,"110%-174.99%","175%+ Review")))))</x:f>
        <x:v>110%-174.99%</x:v>
      </x:c>
      <x:c r="M546" s="56" t="str">
        <x:v>Ready for Commission Calculation</x:v>
      </x:c>
      <x:c r="N546" s="74" t="n">
        <x:f>IF(E546&lt;=0,0,MIN(G546,E546*0.8)*0.01+MAX(0,MIN(G546,E546)-E546*0.8)*0.02)</x:f>
        <x:v>1219.2</x:v>
      </x:c>
      <x:c r="O546" s="74" t="n">
        <x:f>IF(E546&lt;=0,0,MAX(0,MIN(G546,E546*1.1)-E546)*0.035+MAX(0,G546-E546*1.1)*0.05)</x:f>
        <x:v>539.2875000000006</x:v>
      </x:c>
      <x:c r="P546" s="74" t="n">
        <x:f>N546+O546</x:f>
        <x:v>1758.4875000000006</x:v>
      </x:c>
      <x:c r="Q546" s="76" t="n">
        <x:f>IF(G546&lt;=0,0,P546/G546)</x:f>
        <x:v>0.015233737966582566</x:v>
      </x:c>
    </x:row>
    <x:row r="547">
      <x:c r="A547" s="56" t="str">
        <x:v>EMP046</x:v>
      </x:c>
      <x:c r="B547" s="56" t="str">
        <x:v>Daniel Okafor</x:v>
      </x:c>
      <x:c r="C547" s="56" t="str">
        <x:v>AE II</x:v>
      </x:c>
      <x:c r="D547" s="56" t="str">
        <x:v>2026-06</x:v>
      </x:c>
      <x:c r="E547" s="72" t="n">
        <x:v>114300</x:v>
      </x:c>
      <x:c r="F547" s="72" t="n">
        <x:v>122931.62</x:v>
      </x:c>
      <x:c r="G547" s="72" t="n">
        <x:v>122931.62</x:v>
      </x:c>
      <x:c r="H547" s="72" t="n">
        <x:v>0</x:v>
      </x:c>
      <x:c r="I547" s="56" t="n">
        <x:v>0</x:v>
      </x:c>
      <x:c r="J547" s="56" t="n">
        <x:v>0</x:v>
      </x:c>
      <x:c r="K547" s="68" t="n">
        <x:f>IF(E547&lt;=0,"",G547/E547)</x:f>
        <x:v>1.0755172353455817</x:v>
      </x:c>
      <x:c r="L547" t="str">
        <x:f>IF(K547="","Not Calculated",IF(K547&lt;0.8,"Below 80%",IF(K547&lt;1,"80%-99.99%",IF(K547&lt;1.1,"100%-109.99%",IF(K547&lt;1.75,"110%-174.99%","175%+ Review")))))</x:f>
        <x:v>100%-109.99%</x:v>
      </x:c>
      <x:c r="M547" s="56" t="str">
        <x:v>Ready for Commission Calculation</x:v>
      </x:c>
      <x:c r="N547" s="74" t="n">
        <x:f>IF(E547&lt;=0,0,MIN(G547,E547*0.8)*0.01+MAX(0,MIN(G547,E547)-E547*0.8)*0.02)</x:f>
        <x:v>1371.6</x:v>
      </x:c>
      <x:c r="O547" s="74" t="n">
        <x:f>IF(E547&lt;=0,0,MAX(0,MIN(G547,E547*1.1)-E547)*0.035+MAX(0,G547-E547*1.1)*0.05)</x:f>
        <x:v>302.1066999999999</x:v>
      </x:c>
      <x:c r="P547" s="74" t="n">
        <x:f>N547+O547</x:f>
        <x:v>1673.7066999999997</x:v>
      </x:c>
      <x:c r="Q547" s="76" t="n">
        <x:f>IF(G547&lt;=0,0,P547/G547)</x:f>
        <x:v>0.013614940566145633</x:v>
      </x:c>
    </x:row>
    <x:row r="548">
      <x:c r="A548" s="56" t="str">
        <x:v>EMP046</x:v>
      </x:c>
      <x:c r="B548" s="56" t="str">
        <x:v>Daniel Okafor</x:v>
      </x:c>
      <x:c r="C548" s="56" t="str">
        <x:v>AE II</x:v>
      </x:c>
      <x:c r="D548" s="56" t="str">
        <x:v>2026-07</x:v>
      </x:c>
      <x:c r="E548" s="72" t="n">
        <x:v>88900.00000000001</x:v>
      </x:c>
      <x:c r="F548" s="72" t="n">
        <x:v>97376.06</x:v>
      </x:c>
      <x:c r="G548" s="72" t="n">
        <x:v>91542.38</x:v>
      </x:c>
      <x:c r="H548" s="72" t="n">
        <x:v>5833.68</x:v>
      </x:c>
      <x:c r="I548" s="56" t="n">
        <x:v>0</x:v>
      </x:c>
      <x:c r="J548" s="56" t="n">
        <x:v>0</x:v>
      </x:c>
      <x:c r="K548" s="68" t="n">
        <x:f>IF(E548&lt;=0,"",G548/E548)</x:f>
        <x:v>1.0297230596175477</x:v>
      </x:c>
      <x:c r="L548" t="str">
        <x:f>IF(K548="","Not Calculated",IF(K548&lt;0.8,"Below 80%",IF(K548&lt;1,"80%-99.99%",IF(K548&lt;1.1,"100%-109.99%",IF(K548&lt;1.75,"110%-174.99%","175%+ Review")))))</x:f>
        <x:v>100%-109.99%</x:v>
      </x:c>
      <x:c r="M548" s="56" t="str">
        <x:v>Ready for Commission Calculation</x:v>
      </x:c>
      <x:c r="N548" s="74" t="n">
        <x:f>IF(E548&lt;=0,0,MIN(G548,E548*0.8)*0.01+MAX(0,MIN(G548,E548)-E548*0.8)*0.02)</x:f>
        <x:v>1066.8000000000002</x:v>
      </x:c>
      <x:c r="O548" s="74" t="n">
        <x:f>IF(E548&lt;=0,0,MAX(0,MIN(G548,E548*1.1)-E548)*0.035+MAX(0,G548-E548*1.1)*0.05)</x:f>
        <x:v>92.48329999999966</x:v>
      </x:c>
      <x:c r="P548" s="74" t="n">
        <x:f>N548+O548</x:f>
        <x:v>1159.2832999999998</x:v>
      </x:c>
      <x:c r="Q548" s="76" t="n">
        <x:f>IF(G548&lt;=0,0,P548/G548)</x:f>
        <x:v>0.012663897311824313</x:v>
      </x:c>
    </x:row>
    <x:row r="549">
      <x:c r="A549" s="56" t="str">
        <x:v>EMP046</x:v>
      </x:c>
      <x:c r="B549" s="56" t="str">
        <x:v>Daniel Okafor</x:v>
      </x:c>
      <x:c r="C549" s="56" t="str">
        <x:v>AE II</x:v>
      </x:c>
      <x:c r="D549" s="56" t="str">
        <x:v>2026-08</x:v>
      </x:c>
      <x:c r="E549" s="72" t="n">
        <x:v>88900.00000000001</x:v>
      </x:c>
      <x:c r="F549" s="72" t="n">
        <x:v>99476.97000000002</x:v>
      </x:c>
      <x:c r="G549" s="72" t="n">
        <x:v>99476.97000000002</x:v>
      </x:c>
      <x:c r="H549" s="72" t="n">
        <x:v>0</x:v>
      </x:c>
      <x:c r="I549" s="56" t="n">
        <x:v>0</x:v>
      </x:c>
      <x:c r="J549" s="56" t="n">
        <x:v>0</x:v>
      </x:c>
      <x:c r="K549" s="68" t="n">
        <x:f>IF(E549&lt;=0,"",G549/E549)</x:f>
        <x:v>1.118976040494938</x:v>
      </x:c>
      <x:c r="L549" t="str">
        <x:f>IF(K549="","Not Calculated",IF(K549&lt;0.8,"Below 80%",IF(K549&lt;1,"80%-99.99%",IF(K549&lt;1.1,"100%-109.99%",IF(K549&lt;1.75,"110%-174.99%","175%+ Review")))))</x:f>
        <x:v>110%-174.99%</x:v>
      </x:c>
      <x:c r="M549" s="56" t="str">
        <x:v>Ready for Commission Calculation</x:v>
      </x:c>
      <x:c r="N549" s="74" t="n">
        <x:f>IF(E549&lt;=0,0,MIN(G549,E549*0.8)*0.01+MAX(0,MIN(G549,E549)-E549*0.8)*0.02)</x:f>
        <x:v>1066.8000000000002</x:v>
      </x:c>
      <x:c r="O549" s="74" t="n">
        <x:f>IF(E549&lt;=0,0,MAX(0,MIN(G549,E549*1.1)-E549)*0.035+MAX(0,G549-E549*1.1)*0.05)</x:f>
        <x:v>395.49849999999986</x:v>
      </x:c>
      <x:c r="P549" s="74" t="n">
        <x:f>N549+O549</x:f>
        <x:v>1462.2985</x:v>
      </x:c>
      <x:c r="Q549" s="76" t="n">
        <x:f>IF(G549&lt;=0,0,P549/G549)</x:f>
        <x:v>0.014699869728641714</x:v>
      </x:c>
    </x:row>
    <x:row r="550">
      <x:c r="A550" s="56" t="str">
        <x:v>EMP046</x:v>
      </x:c>
      <x:c r="B550" s="56" t="str">
        <x:v>Daniel Okafor</x:v>
      </x:c>
      <x:c r="C550" s="56" t="str">
        <x:v>AE II</x:v>
      </x:c>
      <x:c r="D550" s="56" t="str">
        <x:v>2026-09</x:v>
      </x:c>
      <x:c r="E550" s="72" t="n">
        <x:v>127000</x:v>
      </x:c>
      <x:c r="F550" s="72" t="n">
        <x:v>124709.51999999999</x:v>
      </x:c>
      <x:c r="G550" s="72" t="n">
        <x:v>124709.51999999999</x:v>
      </x:c>
      <x:c r="H550" s="72" t="n">
        <x:v>0</x:v>
      </x:c>
      <x:c r="I550" s="56" t="n">
        <x:v>0</x:v>
      </x:c>
      <x:c r="J550" s="56" t="n">
        <x:v>0</x:v>
      </x:c>
      <x:c r="K550" s="68" t="n">
        <x:f>IF(E550&lt;=0,"",G550/E550)</x:f>
        <x:v>0.9819647244094487</x:v>
      </x:c>
      <x:c r="L550" t="str">
        <x:f>IF(K550="","Not Calculated",IF(K550&lt;0.8,"Below 80%",IF(K550&lt;1,"80%-99.99%",IF(K550&lt;1.1,"100%-109.99%",IF(K550&lt;1.75,"110%-174.99%","175%+ Review")))))</x:f>
        <x:v>80%-99.99%</x:v>
      </x:c>
      <x:c r="M550" s="56" t="str">
        <x:v>Ready for Commission Calculation</x:v>
      </x:c>
      <x:c r="N550" s="74" t="n">
        <x:f>IF(E550&lt;=0,0,MIN(G550,E550*0.8)*0.01+MAX(0,MIN(G550,E550)-E550*0.8)*0.02)</x:f>
        <x:v>1478.1903999999997</x:v>
      </x:c>
      <x:c r="O550" s="74" t="n">
        <x:f>IF(E550&lt;=0,0,MAX(0,MIN(G550,E550*1.1)-E550)*0.035+MAX(0,G550-E550*1.1)*0.05)</x:f>
        <x:v>0</x:v>
      </x:c>
      <x:c r="P550" s="74" t="n">
        <x:f>N550+O550</x:f>
        <x:v>1478.1903999999997</x:v>
      </x:c>
      <x:c r="Q550" s="76" t="n">
        <x:f>IF(G550&lt;=0,0,P550/G550)</x:f>
        <x:v>0.011853067833153394</x:v>
      </x:c>
    </x:row>
    <x:row r="551">
      <x:c r="A551" s="56" t="str">
        <x:v>EMP046</x:v>
      </x:c>
      <x:c r="B551" s="56" t="str">
        <x:v>Daniel Okafor</x:v>
      </x:c>
      <x:c r="C551" s="56" t="str">
        <x:v>AE II</x:v>
      </x:c>
      <x:c r="D551" s="56" t="str">
        <x:v>2026-10</x:v>
      </x:c>
      <x:c r="E551" s="72" t="n">
        <x:v>127000</x:v>
      </x:c>
      <x:c r="F551" s="72" t="n">
        <x:v>140951.86000000002</x:v>
      </x:c>
      <x:c r="G551" s="72" t="n">
        <x:v>125752.58999999998</x:v>
      </x:c>
      <x:c r="H551" s="72" t="n">
        <x:v>15199.27</x:v>
      </x:c>
      <x:c r="I551" s="56" t="n">
        <x:v>0</x:v>
      </x:c>
      <x:c r="J551" s="56" t="n">
        <x:v>0</x:v>
      </x:c>
      <x:c r="K551" s="68" t="n">
        <x:f>IF(E551&lt;=0,"",G551/E551)</x:f>
        <x:v>0.9901778740157479</x:v>
      </x:c>
      <x:c r="L551" t="str">
        <x:f>IF(K551="","Not Calculated",IF(K551&lt;0.8,"Below 80%",IF(K551&lt;1,"80%-99.99%",IF(K551&lt;1.1,"100%-109.99%",IF(K551&lt;1.75,"110%-174.99%","175%+ Review")))))</x:f>
        <x:v>80%-99.99%</x:v>
      </x:c>
      <x:c r="M551" s="56" t="str">
        <x:v>Ready for Commission Calculation</x:v>
      </x:c>
      <x:c r="N551" s="74" t="n">
        <x:f>IF(E551&lt;=0,0,MIN(G551,E551*0.8)*0.01+MAX(0,MIN(G551,E551)-E551*0.8)*0.02)</x:f>
        <x:v>1499.0517999999997</x:v>
      </x:c>
      <x:c r="O551" s="74" t="n">
        <x:f>IF(E551&lt;=0,0,MAX(0,MIN(G551,E551*1.1)-E551)*0.035+MAX(0,G551-E551*1.1)*0.05)</x:f>
        <x:v>0</x:v>
      </x:c>
      <x:c r="P551" s="74" t="n">
        <x:f>N551+O551</x:f>
        <x:v>1499.0517999999997</x:v>
      </x:c>
      <x:c r="Q551" s="76" t="n">
        <x:f>IF(G551&lt;=0,0,P551/G551)</x:f>
        <x:v>0.011920643543007743</x:v>
      </x:c>
    </x:row>
    <x:row r="552">
      <x:c r="A552" s="56" t="str">
        <x:v>EMP046</x:v>
      </x:c>
      <x:c r="B552" s="56" t="str">
        <x:v>Daniel Okafor</x:v>
      </x:c>
      <x:c r="C552" s="56" t="str">
        <x:v>AE II</x:v>
      </x:c>
      <x:c r="D552" s="56" t="str">
        <x:v>2026-11</x:v>
      </x:c>
      <x:c r="E552" s="72" t="n">
        <x:v>114300</x:v>
      </x:c>
      <x:c r="F552" s="72" t="n">
        <x:v>126618.39000000001</x:v>
      </x:c>
      <x:c r="G552" s="72" t="n">
        <x:v>126391.70000000001</x:v>
      </x:c>
      <x:c r="H552" s="72" t="n">
        <x:v>226.69</x:v>
      </x:c>
      <x:c r="I552" s="56" t="n">
        <x:v>0</x:v>
      </x:c>
      <x:c r="J552" s="56" t="n">
        <x:v>0</x:v>
      </x:c>
      <x:c r="K552" s="68" t="n">
        <x:f>IF(E552&lt;=0,"",G552/E552)</x:f>
        <x:v>1.1057891513560807</x:v>
      </x:c>
      <x:c r="L552" t="str">
        <x:f>IF(K552="","Not Calculated",IF(K552&lt;0.8,"Below 80%",IF(K552&lt;1,"80%-99.99%",IF(K552&lt;1.1,"100%-109.99%",IF(K552&lt;1.75,"110%-174.99%","175%+ Review")))))</x:f>
        <x:v>110%-174.99%</x:v>
      </x:c>
      <x:c r="M552" s="56" t="str">
        <x:v>Ready for Commission Calculation</x:v>
      </x:c>
      <x:c r="N552" s="74" t="n">
        <x:f>IF(E552&lt;=0,0,MIN(G552,E552*0.8)*0.01+MAX(0,MIN(G552,E552)-E552*0.8)*0.02)</x:f>
        <x:v>1371.6</x:v>
      </x:c>
      <x:c r="O552" s="74" t="n">
        <x:f>IF(E552&lt;=0,0,MAX(0,MIN(G552,E552*1.1)-E552)*0.035+MAX(0,G552-E552*1.1)*0.05)</x:f>
        <x:v>433.1350000000004</x:v>
      </x:c>
      <x:c r="P552" s="74" t="n">
        <x:f>N552+O552</x:f>
        <x:v>1804.7350000000004</x:v>
      </x:c>
      <x:c r="Q552" s="76" t="n">
        <x:f>IF(G552&lt;=0,0,P552/G552)</x:f>
        <x:v>0.014278904390082578</x:v>
      </x:c>
    </x:row>
    <x:row r="553">
      <x:c r="A553" s="56" t="str">
        <x:v>EMP046</x:v>
      </x:c>
      <x:c r="B553" s="56" t="str">
        <x:v>Daniel Okafor</x:v>
      </x:c>
      <x:c r="C553" s="56" t="str">
        <x:v>AE II</x:v>
      </x:c>
      <x:c r="D553" s="56" t="str">
        <x:v>2026-12</x:v>
      </x:c>
      <x:c r="E553" s="72" t="n">
        <x:v>127000</x:v>
      </x:c>
      <x:c r="F553" s="72" t="n">
        <x:v>145568.20999999996</x:v>
      </x:c>
      <x:c r="G553" s="72" t="n">
        <x:v>145058.18999999997</x:v>
      </x:c>
      <x:c r="H553" s="72" t="n">
        <x:v>510.02</x:v>
      </x:c>
      <x:c r="I553" s="56" t="n">
        <x:v>0</x:v>
      </x:c>
      <x:c r="J553" s="56" t="n">
        <x:v>0</x:v>
      </x:c>
      <x:c r="K553" s="68" t="n">
        <x:f>IF(E553&lt;=0,"",G553/E553)</x:f>
        <x:v>1.1421904724409446</x:v>
      </x:c>
      <x:c r="L553" t="str">
        <x:f>IF(K553="","Not Calculated",IF(K553&lt;0.8,"Below 80%",IF(K553&lt;1,"80%-99.99%",IF(K553&lt;1.1,"100%-109.99%",IF(K553&lt;1.75,"110%-174.99%","175%+ Review")))))</x:f>
        <x:v>110%-174.99%</x:v>
      </x:c>
      <x:c r="M553" s="56" t="str">
        <x:v>Ready for Commission Calculation</x:v>
      </x:c>
      <x:c r="N553" s="74" t="n">
        <x:f>IF(E553&lt;=0,0,MIN(G553,E553*0.8)*0.01+MAX(0,MIN(G553,E553)-E553*0.8)*0.02)</x:f>
        <x:v>1524</x:v>
      </x:c>
      <x:c r="O553" s="74" t="n">
        <x:f>IF(E553&lt;=0,0,MAX(0,MIN(G553,E553*1.1)-E553)*0.035+MAX(0,G553-E553*1.1)*0.05)</x:f>
        <x:v>712.4094999999987</x:v>
      </x:c>
      <x:c r="P553" s="74" t="n">
        <x:f>N553+O553</x:f>
        <x:v>2236.409499999999</x:v>
      </x:c>
      <x:c r="Q553" s="76" t="n">
        <x:f>IF(G553&lt;=0,0,P553/G553)</x:f>
        <x:v>0.01541732666042503</x:v>
      </x:c>
    </x:row>
    <x:row r="554">
      <x:c r="A554" s="56" t="str">
        <x:v>EMP047</x:v>
      </x:c>
      <x:c r="B554" s="56" t="str">
        <x:v>Rachel Green</x:v>
      </x:c>
      <x:c r="C554" s="56" t="str">
        <x:v>Senior AE</x:v>
      </x:c>
      <x:c r="D554" s="56" t="str">
        <x:v>2026-01</x:v>
      </x:c>
      <x:c r="E554" s="72" t="n">
        <x:v>0</x:v>
      </x:c>
      <x:c r="F554" s="72" t="n">
        <x:v>0</x:v>
      </x:c>
      <x:c r="G554" s="72" t="n">
        <x:v>0</x:v>
      </x:c>
      <x:c r="H554" s="72" t="n">
        <x:v>0</x:v>
      </x:c>
      <x:c r="I554" s="56" t="n">
        <x:v>0</x:v>
      </x:c>
      <x:c r="J554" s="56" t="n">
        <x:v>0</x:v>
      </x:c>
      <x:c r="K554" s="68" t="str">
        <x:f>IF(E554&lt;=0,"",G554/E554)</x:f>
      </x:c>
      <x:c r="L554" t="str">
        <x:f>IF(K554="","Not Calculated",IF(K554&lt;0.8,"Below 80%",IF(K554&lt;1,"80%-99.99%",IF(K554&lt;1.1,"100%-109.99%",IF(K554&lt;1.75,"110%-174.99%","175%+ Review")))))</x:f>
        <x:v>Not Calculated</x:v>
      </x:c>
      <x:c r="M554" s="56" t="str">
        <x:v>Not Applicable</x:v>
      </x:c>
      <x:c r="N554" s="74" t="n">
        <x:f>IF(E554&lt;=0,0,MIN(G554,E554*0.8)*0.01+MAX(0,MIN(G554,E554)-E554*0.8)*0.02)</x:f>
        <x:v>0</x:v>
      </x:c>
      <x:c r="O554" s="74" t="n">
        <x:f>IF(E554&lt;=0,0,MAX(0,MIN(G554,E554*1.1)-E554)*0.035+MAX(0,G554-E554*1.1)*0.05)</x:f>
        <x:v>0</x:v>
      </x:c>
      <x:c r="P554" s="74" t="n">
        <x:f>N554+O554</x:f>
        <x:v>0</x:v>
      </x:c>
      <x:c r="Q554" s="76" t="n">
        <x:f>IF(G554&lt;=0,0,P554/G554)</x:f>
        <x:v>0</x:v>
      </x:c>
    </x:row>
    <x:row r="555">
      <x:c r="A555" s="56" t="str">
        <x:v>EMP047</x:v>
      </x:c>
      <x:c r="B555" s="56" t="str">
        <x:v>Rachel Green</x:v>
      </x:c>
      <x:c r="C555" s="56" t="str">
        <x:v>Senior AE</x:v>
      </x:c>
      <x:c r="D555" s="56" t="str">
        <x:v>2026-02</x:v>
      </x:c>
      <x:c r="E555" s="72" t="n">
        <x:v>0</x:v>
      </x:c>
      <x:c r="F555" s="72" t="n">
        <x:v>0</x:v>
      </x:c>
      <x:c r="G555" s="72" t="n">
        <x:v>0</x:v>
      </x:c>
      <x:c r="H555" s="72" t="n">
        <x:v>0</x:v>
      </x:c>
      <x:c r="I555" s="56" t="n">
        <x:v>0</x:v>
      </x:c>
      <x:c r="J555" s="56" t="n">
        <x:v>0</x:v>
      </x:c>
      <x:c r="K555" s="68" t="str">
        <x:f>IF(E555&lt;=0,"",G555/E555)</x:f>
      </x:c>
      <x:c r="L555" t="str">
        <x:f>IF(K555="","Not Calculated",IF(K555&lt;0.8,"Below 80%",IF(K555&lt;1,"80%-99.99%",IF(K555&lt;1.1,"100%-109.99%",IF(K555&lt;1.75,"110%-174.99%","175%+ Review")))))</x:f>
        <x:v>Not Calculated</x:v>
      </x:c>
      <x:c r="M555" s="56" t="str">
        <x:v>Not Applicable</x:v>
      </x:c>
      <x:c r="N555" s="74" t="n">
        <x:f>IF(E555&lt;=0,0,MIN(G555,E555*0.8)*0.01+MAX(0,MIN(G555,E555)-E555*0.8)*0.02)</x:f>
        <x:v>0</x:v>
      </x:c>
      <x:c r="O555" s="74" t="n">
        <x:f>IF(E555&lt;=0,0,MAX(0,MIN(G555,E555*1.1)-E555)*0.035+MAX(0,G555-E555*1.1)*0.05)</x:f>
        <x:v>0</x:v>
      </x:c>
      <x:c r="P555" s="74" t="n">
        <x:f>N555+O555</x:f>
        <x:v>0</x:v>
      </x:c>
      <x:c r="Q555" s="76" t="n">
        <x:f>IF(G555&lt;=0,0,P555/G555)</x:f>
        <x:v>0</x:v>
      </x:c>
    </x:row>
    <x:row r="556">
      <x:c r="A556" s="56" t="str">
        <x:v>EMP047</x:v>
      </x:c>
      <x:c r="B556" s="56" t="str">
        <x:v>Rachel Green</x:v>
      </x:c>
      <x:c r="C556" s="56" t="str">
        <x:v>Senior AE</x:v>
      </x:c>
      <x:c r="D556" s="56" t="str">
        <x:v>2026-03</x:v>
      </x:c>
      <x:c r="E556" s="72" t="n">
        <x:v>0</x:v>
      </x:c>
      <x:c r="F556" s="72" t="n">
        <x:v>0</x:v>
      </x:c>
      <x:c r="G556" s="72" t="n">
        <x:v>0</x:v>
      </x:c>
      <x:c r="H556" s="72" t="n">
        <x:v>0</x:v>
      </x:c>
      <x:c r="I556" s="56" t="n">
        <x:v>0</x:v>
      </x:c>
      <x:c r="J556" s="56" t="n">
        <x:v>0</x:v>
      </x:c>
      <x:c r="K556" s="68" t="str">
        <x:f>IF(E556&lt;=0,"",G556/E556)</x:f>
      </x:c>
      <x:c r="L556" t="str">
        <x:f>IF(K556="","Not Calculated",IF(K556&lt;0.8,"Below 80%",IF(K556&lt;1,"80%-99.99%",IF(K556&lt;1.1,"100%-109.99%",IF(K556&lt;1.75,"110%-174.99%","175%+ Review")))))</x:f>
        <x:v>Not Calculated</x:v>
      </x:c>
      <x:c r="M556" s="56" t="str">
        <x:v>Not Applicable</x:v>
      </x:c>
      <x:c r="N556" s="74" t="n">
        <x:f>IF(E556&lt;=0,0,MIN(G556,E556*0.8)*0.01+MAX(0,MIN(G556,E556)-E556*0.8)*0.02)</x:f>
        <x:v>0</x:v>
      </x:c>
      <x:c r="O556" s="74" t="n">
        <x:f>IF(E556&lt;=0,0,MAX(0,MIN(G556,E556*1.1)-E556)*0.035+MAX(0,G556-E556*1.1)*0.05)</x:f>
        <x:v>0</x:v>
      </x:c>
      <x:c r="P556" s="74" t="n">
        <x:f>N556+O556</x:f>
        <x:v>0</x:v>
      </x:c>
      <x:c r="Q556" s="76" t="n">
        <x:f>IF(G556&lt;=0,0,P556/G556)</x:f>
        <x:v>0</x:v>
      </x:c>
    </x:row>
    <x:row r="557">
      <x:c r="A557" s="56" t="str">
        <x:v>EMP047</x:v>
      </x:c>
      <x:c r="B557" s="56" t="str">
        <x:v>Rachel Green</x:v>
      </x:c>
      <x:c r="C557" s="56" t="str">
        <x:v>Senior AE</x:v>
      </x:c>
      <x:c r="D557" s="56" t="str">
        <x:v>2026-04</x:v>
      </x:c>
      <x:c r="E557" s="72" t="n">
        <x:v>0</x:v>
      </x:c>
      <x:c r="F557" s="72" t="n">
        <x:v>0</x:v>
      </x:c>
      <x:c r="G557" s="72" t="n">
        <x:v>0</x:v>
      </x:c>
      <x:c r="H557" s="72" t="n">
        <x:v>0</x:v>
      </x:c>
      <x:c r="I557" s="56" t="n">
        <x:v>0</x:v>
      </x:c>
      <x:c r="J557" s="56" t="n">
        <x:v>0</x:v>
      </x:c>
      <x:c r="K557" s="68" t="str">
        <x:f>IF(E557&lt;=0,"",G557/E557)</x:f>
      </x:c>
      <x:c r="L557" t="str">
        <x:f>IF(K557="","Not Calculated",IF(K557&lt;0.8,"Below 80%",IF(K557&lt;1,"80%-99.99%",IF(K557&lt;1.1,"100%-109.99%",IF(K557&lt;1.75,"110%-174.99%","175%+ Review")))))</x:f>
        <x:v>Not Calculated</x:v>
      </x:c>
      <x:c r="M557" s="56" t="str">
        <x:v>Not Applicable</x:v>
      </x:c>
      <x:c r="N557" s="74" t="n">
        <x:f>IF(E557&lt;=0,0,MIN(G557,E557*0.8)*0.01+MAX(0,MIN(G557,E557)-E557*0.8)*0.02)</x:f>
        <x:v>0</x:v>
      </x:c>
      <x:c r="O557" s="74" t="n">
        <x:f>IF(E557&lt;=0,0,MAX(0,MIN(G557,E557*1.1)-E557)*0.035+MAX(0,G557-E557*1.1)*0.05)</x:f>
        <x:v>0</x:v>
      </x:c>
      <x:c r="P557" s="74" t="n">
        <x:f>N557+O557</x:f>
        <x:v>0</x:v>
      </x:c>
      <x:c r="Q557" s="76" t="n">
        <x:f>IF(G557&lt;=0,0,P557/G557)</x:f>
        <x:v>0</x:v>
      </x:c>
    </x:row>
    <x:row r="558">
      <x:c r="A558" s="56" t="str">
        <x:v>EMP047</x:v>
      </x:c>
      <x:c r="B558" s="56" t="str">
        <x:v>Rachel Green</x:v>
      </x:c>
      <x:c r="C558" s="56" t="str">
        <x:v>Senior AE</x:v>
      </x:c>
      <x:c r="D558" s="56" t="str">
        <x:v>2026-05</x:v>
      </x:c>
      <x:c r="E558" s="72" t="n">
        <x:v>0</x:v>
      </x:c>
      <x:c r="F558" s="72" t="n">
        <x:v>0</x:v>
      </x:c>
      <x:c r="G558" s="72" t="n">
        <x:v>0</x:v>
      </x:c>
      <x:c r="H558" s="72" t="n">
        <x:v>0</x:v>
      </x:c>
      <x:c r="I558" s="56" t="n">
        <x:v>0</x:v>
      </x:c>
      <x:c r="J558" s="56" t="n">
        <x:v>0</x:v>
      </x:c>
      <x:c r="K558" s="68" t="str">
        <x:f>IF(E558&lt;=0,"",G558/E558)</x:f>
      </x:c>
      <x:c r="L558" t="str">
        <x:f>IF(K558="","Not Calculated",IF(K558&lt;0.8,"Below 80%",IF(K558&lt;1,"80%-99.99%",IF(K558&lt;1.1,"100%-109.99%",IF(K558&lt;1.75,"110%-174.99%","175%+ Review")))))</x:f>
        <x:v>Not Calculated</x:v>
      </x:c>
      <x:c r="M558" s="56" t="str">
        <x:v>Not Applicable</x:v>
      </x:c>
      <x:c r="N558" s="74" t="n">
        <x:f>IF(E558&lt;=0,0,MIN(G558,E558*0.8)*0.01+MAX(0,MIN(G558,E558)-E558*0.8)*0.02)</x:f>
        <x:v>0</x:v>
      </x:c>
      <x:c r="O558" s="74" t="n">
        <x:f>IF(E558&lt;=0,0,MAX(0,MIN(G558,E558*1.1)-E558)*0.035+MAX(0,G558-E558*1.1)*0.05)</x:f>
        <x:v>0</x:v>
      </x:c>
      <x:c r="P558" s="74" t="n">
        <x:f>N558+O558</x:f>
        <x:v>0</x:v>
      </x:c>
      <x:c r="Q558" s="76" t="n">
        <x:f>IF(G558&lt;=0,0,P558/G558)</x:f>
        <x:v>0</x:v>
      </x:c>
    </x:row>
    <x:row r="559">
      <x:c r="A559" s="56" t="str">
        <x:v>EMP047</x:v>
      </x:c>
      <x:c r="B559" s="56" t="str">
        <x:v>Rachel Green</x:v>
      </x:c>
      <x:c r="C559" s="56" t="str">
        <x:v>Senior AE</x:v>
      </x:c>
      <x:c r="D559" s="56" t="str">
        <x:v>2026-06</x:v>
      </x:c>
      <x:c r="E559" s="72" t="n">
        <x:v>0</x:v>
      </x:c>
      <x:c r="F559" s="72" t="n">
        <x:v>0</x:v>
      </x:c>
      <x:c r="G559" s="72" t="n">
        <x:v>0</x:v>
      </x:c>
      <x:c r="H559" s="72" t="n">
        <x:v>0</x:v>
      </x:c>
      <x:c r="I559" s="56" t="n">
        <x:v>0</x:v>
      </x:c>
      <x:c r="J559" s="56" t="n">
        <x:v>0</x:v>
      </x:c>
      <x:c r="K559" s="68" t="str">
        <x:f>IF(E559&lt;=0,"",G559/E559)</x:f>
      </x:c>
      <x:c r="L559" t="str">
        <x:f>IF(K559="","Not Calculated",IF(K559&lt;0.8,"Below 80%",IF(K559&lt;1,"80%-99.99%",IF(K559&lt;1.1,"100%-109.99%",IF(K559&lt;1.75,"110%-174.99%","175%+ Review")))))</x:f>
        <x:v>Not Calculated</x:v>
      </x:c>
      <x:c r="M559" s="56" t="str">
        <x:v>Not Applicable</x:v>
      </x:c>
      <x:c r="N559" s="74" t="n">
        <x:f>IF(E559&lt;=0,0,MIN(G559,E559*0.8)*0.01+MAX(0,MIN(G559,E559)-E559*0.8)*0.02)</x:f>
        <x:v>0</x:v>
      </x:c>
      <x:c r="O559" s="74" t="n">
        <x:f>IF(E559&lt;=0,0,MAX(0,MIN(G559,E559*1.1)-E559)*0.035+MAX(0,G559-E559*1.1)*0.05)</x:f>
        <x:v>0</x:v>
      </x:c>
      <x:c r="P559" s="74" t="n">
        <x:f>N559+O559</x:f>
        <x:v>0</x:v>
      </x:c>
      <x:c r="Q559" s="76" t="n">
        <x:f>IF(G559&lt;=0,0,P559/G559)</x:f>
        <x:v>0</x:v>
      </x:c>
    </x:row>
    <x:row r="560">
      <x:c r="A560" s="56" t="str">
        <x:v>EMP047</x:v>
      </x:c>
      <x:c r="B560" s="56" t="str">
        <x:v>Rachel Green</x:v>
      </x:c>
      <x:c r="C560" s="56" t="str">
        <x:v>Senior AE</x:v>
      </x:c>
      <x:c r="D560" s="56" t="str">
        <x:v>2026-07</x:v>
      </x:c>
      <x:c r="E560" s="72" t="n">
        <x:v>0</x:v>
      </x:c>
      <x:c r="F560" s="72" t="n">
        <x:v>0</x:v>
      </x:c>
      <x:c r="G560" s="72" t="n">
        <x:v>0</x:v>
      </x:c>
      <x:c r="H560" s="72" t="n">
        <x:v>0</x:v>
      </x:c>
      <x:c r="I560" s="56" t="n">
        <x:v>0</x:v>
      </x:c>
      <x:c r="J560" s="56" t="n">
        <x:v>0</x:v>
      </x:c>
      <x:c r="K560" s="68" t="str">
        <x:f>IF(E560&lt;=0,"",G560/E560)</x:f>
      </x:c>
      <x:c r="L560" t="str">
        <x:f>IF(K560="","Not Calculated",IF(K560&lt;0.8,"Below 80%",IF(K560&lt;1,"80%-99.99%",IF(K560&lt;1.1,"100%-109.99%",IF(K560&lt;1.75,"110%-174.99%","175%+ Review")))))</x:f>
        <x:v>Not Calculated</x:v>
      </x:c>
      <x:c r="M560" s="56" t="str">
        <x:v>Not Applicable</x:v>
      </x:c>
      <x:c r="N560" s="74" t="n">
        <x:f>IF(E560&lt;=0,0,MIN(G560,E560*0.8)*0.01+MAX(0,MIN(G560,E560)-E560*0.8)*0.02)</x:f>
        <x:v>0</x:v>
      </x:c>
      <x:c r="O560" s="74" t="n">
        <x:f>IF(E560&lt;=0,0,MAX(0,MIN(G560,E560*1.1)-E560)*0.035+MAX(0,G560-E560*1.1)*0.05)</x:f>
        <x:v>0</x:v>
      </x:c>
      <x:c r="P560" s="74" t="n">
        <x:f>N560+O560</x:f>
        <x:v>0</x:v>
      </x:c>
      <x:c r="Q560" s="76" t="n">
        <x:f>IF(G560&lt;=0,0,P560/G560)</x:f>
        <x:v>0</x:v>
      </x:c>
    </x:row>
    <x:row r="561">
      <x:c r="A561" s="56" t="str">
        <x:v>EMP047</x:v>
      </x:c>
      <x:c r="B561" s="56" t="str">
        <x:v>Rachel Green</x:v>
      </x:c>
      <x:c r="C561" s="56" t="str">
        <x:v>Senior AE</x:v>
      </x:c>
      <x:c r="D561" s="56" t="str">
        <x:v>2026-08</x:v>
      </x:c>
      <x:c r="E561" s="72" t="n">
        <x:v>0</x:v>
      </x:c>
      <x:c r="F561" s="72" t="n">
        <x:v>0</x:v>
      </x:c>
      <x:c r="G561" s="72" t="n">
        <x:v>0</x:v>
      </x:c>
      <x:c r="H561" s="72" t="n">
        <x:v>0</x:v>
      </x:c>
      <x:c r="I561" s="56" t="n">
        <x:v>0</x:v>
      </x:c>
      <x:c r="J561" s="56" t="n">
        <x:v>0</x:v>
      </x:c>
      <x:c r="K561" s="68" t="str">
        <x:f>IF(E561&lt;=0,"",G561/E561)</x:f>
      </x:c>
      <x:c r="L561" t="str">
        <x:f>IF(K561="","Not Calculated",IF(K561&lt;0.8,"Below 80%",IF(K561&lt;1,"80%-99.99%",IF(K561&lt;1.1,"100%-109.99%",IF(K561&lt;1.75,"110%-174.99%","175%+ Review")))))</x:f>
        <x:v>Not Calculated</x:v>
      </x:c>
      <x:c r="M561" s="56" t="str">
        <x:v>Not Applicable</x:v>
      </x:c>
      <x:c r="N561" s="74" t="n">
        <x:f>IF(E561&lt;=0,0,MIN(G561,E561*0.8)*0.01+MAX(0,MIN(G561,E561)-E561*0.8)*0.02)</x:f>
        <x:v>0</x:v>
      </x:c>
      <x:c r="O561" s="74" t="n">
        <x:f>IF(E561&lt;=0,0,MAX(0,MIN(G561,E561*1.1)-E561)*0.035+MAX(0,G561-E561*1.1)*0.05)</x:f>
        <x:v>0</x:v>
      </x:c>
      <x:c r="P561" s="74" t="n">
        <x:f>N561+O561</x:f>
        <x:v>0</x:v>
      </x:c>
      <x:c r="Q561" s="76" t="n">
        <x:f>IF(G561&lt;=0,0,P561/G561)</x:f>
        <x:v>0</x:v>
      </x:c>
    </x:row>
    <x:row r="562">
      <x:c r="A562" s="56" t="str">
        <x:v>EMP047</x:v>
      </x:c>
      <x:c r="B562" s="56" t="str">
        <x:v>Rachel Green</x:v>
      </x:c>
      <x:c r="C562" s="56" t="str">
        <x:v>Senior AE</x:v>
      </x:c>
      <x:c r="D562" s="56" t="str">
        <x:v>2026-09</x:v>
      </x:c>
      <x:c r="E562" s="72" t="n">
        <x:v>0</x:v>
      </x:c>
      <x:c r="F562" s="72" t="n">
        <x:v>0</x:v>
      </x:c>
      <x:c r="G562" s="72" t="n">
        <x:v>0</x:v>
      </x:c>
      <x:c r="H562" s="72" t="n">
        <x:v>0</x:v>
      </x:c>
      <x:c r="I562" s="56" t="n">
        <x:v>0</x:v>
      </x:c>
      <x:c r="J562" s="56" t="n">
        <x:v>0</x:v>
      </x:c>
      <x:c r="K562" s="68" t="str">
        <x:f>IF(E562&lt;=0,"",G562/E562)</x:f>
      </x:c>
      <x:c r="L562" t="str">
        <x:f>IF(K562="","Not Calculated",IF(K562&lt;0.8,"Below 80%",IF(K562&lt;1,"80%-99.99%",IF(K562&lt;1.1,"100%-109.99%",IF(K562&lt;1.75,"110%-174.99%","175%+ Review")))))</x:f>
        <x:v>Not Calculated</x:v>
      </x:c>
      <x:c r="M562" s="56" t="str">
        <x:v>Not Applicable</x:v>
      </x:c>
      <x:c r="N562" s="74" t="n">
        <x:f>IF(E562&lt;=0,0,MIN(G562,E562*0.8)*0.01+MAX(0,MIN(G562,E562)-E562*0.8)*0.02)</x:f>
        <x:v>0</x:v>
      </x:c>
      <x:c r="O562" s="74" t="n">
        <x:f>IF(E562&lt;=0,0,MAX(0,MIN(G562,E562*1.1)-E562)*0.035+MAX(0,G562-E562*1.1)*0.05)</x:f>
        <x:v>0</x:v>
      </x:c>
      <x:c r="P562" s="74" t="n">
        <x:f>N562+O562</x:f>
        <x:v>0</x:v>
      </x:c>
      <x:c r="Q562" s="76" t="n">
        <x:f>IF(G562&lt;=0,0,P562/G562)</x:f>
        <x:v>0</x:v>
      </x:c>
    </x:row>
    <x:row r="563">
      <x:c r="A563" s="56" t="str">
        <x:v>EMP047</x:v>
      </x:c>
      <x:c r="B563" s="56" t="str">
        <x:v>Rachel Green</x:v>
      </x:c>
      <x:c r="C563" s="56" t="str">
        <x:v>Senior AE</x:v>
      </x:c>
      <x:c r="D563" s="56" t="str">
        <x:v>2026-10</x:v>
      </x:c>
      <x:c r="E563" s="72" t="n">
        <x:v>70451.6129032258</x:v>
      </x:c>
      <x:c r="F563" s="72" t="n">
        <x:v>68180.9</x:v>
      </x:c>
      <x:c r="G563" s="72" t="n">
        <x:v>67286.29</x:v>
      </x:c>
      <x:c r="H563" s="72" t="n">
        <x:v>422.8</x:v>
      </x:c>
      <x:c r="I563" s="56" t="n">
        <x:v>0</x:v>
      </x:c>
      <x:c r="J563" s="56" t="n">
        <x:v>1</x:v>
      </x:c>
      <x:c r="K563" s="68" t="n">
        <x:f>IF(E563&lt;=0,"",G563/E563)</x:f>
        <x:v>0.9550709661172161</x:v>
      </x:c>
      <x:c r="L563" t="str">
        <x:f>IF(K563="","Not Calculated",IF(K563&lt;0.8,"Below 80%",IF(K563&lt;1,"80%-99.99%",IF(K563&lt;1.1,"100%-109.99%",IF(K563&lt;1.75,"110%-174.99%","175%+ Review")))))</x:f>
        <x:v>80%-99.99%</x:v>
      </x:c>
      <x:c r="M563" s="56" t="str">
        <x:v>HOLD - Sales Credit</x:v>
      </x:c>
      <x:c r="N563" s="74" t="n">
        <x:f>IF(E563&lt;=0,0,MIN(G563,E563*0.8)*0.01+MAX(0,MIN(G563,E563)-E563*0.8)*0.02)</x:f>
        <x:v>782.1128967741935</x:v>
      </x:c>
      <x:c r="O563" s="74" t="n">
        <x:f>IF(E563&lt;=0,0,MAX(0,MIN(G563,E563*1.1)-E563)*0.035+MAX(0,G563-E563*1.1)*0.05)</x:f>
        <x:v>0</x:v>
      </x:c>
      <x:c r="P563" s="74" t="n">
        <x:f>N563+O563</x:f>
        <x:v>782.1128967741935</x:v>
      </x:c>
      <x:c r="Q563" s="76" t="n">
        <x:f>IF(G563&lt;=0,0,P563/G563)</x:f>
        <x:v>0.011623659095696813</x:v>
      </x:c>
    </x:row>
    <x:row r="564">
      <x:c r="A564" s="56" t="str">
        <x:v>EMP047</x:v>
      </x:c>
      <x:c r="B564" s="56" t="str">
        <x:v>Rachel Green</x:v>
      </x:c>
      <x:c r="C564" s="56" t="str">
        <x:v>Senior AE</x:v>
      </x:c>
      <x:c r="D564" s="56" t="str">
        <x:v>2026-11</x:v>
      </x:c>
      <x:c r="E564" s="72" t="n">
        <x:v>113400</x:v>
      </x:c>
      <x:c r="F564" s="72" t="n">
        <x:v>123672.32999999999</x:v>
      </x:c>
      <x:c r="G564" s="72" t="n">
        <x:v>123672.32999999999</x:v>
      </x:c>
      <x:c r="H564" s="72" t="n">
        <x:v>0</x:v>
      </x:c>
      <x:c r="I564" s="56" t="n">
        <x:v>0</x:v>
      </x:c>
      <x:c r="J564" s="56" t="n">
        <x:v>0</x:v>
      </x:c>
      <x:c r="K564" s="68" t="n">
        <x:f>IF(E564&lt;=0,"",G564/E564)</x:f>
        <x:v>1.0905849206349205</x:v>
      </x:c>
      <x:c r="L564" t="str">
        <x:f>IF(K564="","Not Calculated",IF(K564&lt;0.8,"Below 80%",IF(K564&lt;1,"80%-99.99%",IF(K564&lt;1.1,"100%-109.99%",IF(K564&lt;1.75,"110%-174.99%","175%+ Review")))))</x:f>
        <x:v>100%-109.99%</x:v>
      </x:c>
      <x:c r="M564" s="56" t="str">
        <x:v>Ready for Commission Calculation</x:v>
      </x:c>
      <x:c r="N564" s="74" t="n">
        <x:f>IF(E564&lt;=0,0,MIN(G564,E564*0.8)*0.01+MAX(0,MIN(G564,E564)-E564*0.8)*0.02)</x:f>
        <x:v>1360.8000000000002</x:v>
      </x:c>
      <x:c r="O564" s="74" t="n">
        <x:f>IF(E564&lt;=0,0,MAX(0,MIN(G564,E564*1.1)-E564)*0.035+MAX(0,G564-E564*1.1)*0.05)</x:f>
        <x:v>359.5315499999996</x:v>
      </x:c>
      <x:c r="P564" s="74" t="n">
        <x:f>N564+O564</x:f>
        <x:v>1720.3315499999999</x:v>
      </x:c>
      <x:c r="Q564" s="76" t="n">
        <x:f>IF(G564&lt;=0,0,P564/G564)</x:f>
        <x:v>0.013910399763633466</x:v>
      </x:c>
    </x:row>
    <x:row r="565">
      <x:c r="A565" s="56" t="str">
        <x:v>EMP047</x:v>
      </x:c>
      <x:c r="B565" s="56" t="str">
        <x:v>Rachel Green</x:v>
      </x:c>
      <x:c r="C565" s="56" t="str">
        <x:v>Senior AE</x:v>
      </x:c>
      <x:c r="D565" s="56" t="str">
        <x:v>2026-12</x:v>
      </x:c>
      <x:c r="E565" s="72" t="n">
        <x:v>168000</x:v>
      </x:c>
      <x:c r="F565" s="72" t="n">
        <x:v>169842.96000000002</x:v>
      </x:c>
      <x:c r="G565" s="72" t="n">
        <x:v>169252.91000000003</x:v>
      </x:c>
      <x:c r="H565" s="72" t="n">
        <x:v>590.05</x:v>
      </x:c>
      <x:c r="I565" s="56" t="n">
        <x:v>0</x:v>
      </x:c>
      <x:c r="J565" s="56" t="n">
        <x:v>0</x:v>
      </x:c>
      <x:c r="K565" s="68" t="n">
        <x:f>IF(E565&lt;=0,"",G565/E565)</x:f>
        <x:v>1.0074577976190477</x:v>
      </x:c>
      <x:c r="L565" t="str">
        <x:f>IF(K565="","Not Calculated",IF(K565&lt;0.8,"Below 80%",IF(K565&lt;1,"80%-99.99%",IF(K565&lt;1.1,"100%-109.99%",IF(K565&lt;1.75,"110%-174.99%","175%+ Review")))))</x:f>
        <x:v>100%-109.99%</x:v>
      </x:c>
      <x:c r="M565" s="56" t="str">
        <x:v>Ready for Commission Calculation</x:v>
      </x:c>
      <x:c r="N565" s="74" t="n">
        <x:f>IF(E565&lt;=0,0,MIN(G565,E565*0.8)*0.01+MAX(0,MIN(G565,E565)-E565*0.8)*0.02)</x:f>
        <x:v>2016</x:v>
      </x:c>
      <x:c r="O565" s="74" t="n">
        <x:f>IF(E565&lt;=0,0,MAX(0,MIN(G565,E565*1.1)-E565)*0.035+MAX(0,G565-E565*1.1)*0.05)</x:f>
        <x:v>43.85185000000114</x:v>
      </x:c>
      <x:c r="P565" s="74" t="n">
        <x:f>N565+O565</x:f>
        <x:v>2059.851850000001</x:v>
      </x:c>
      <x:c r="Q565" s="76" t="n">
        <x:f>IF(G565&lt;=0,0,P565/G565)</x:f>
        <x:v>0.01217025958372001</x:v>
      </x:c>
    </x:row>
    <x:row r="566">
      <x:c r="A566" s="56" t="str">
        <x:v>EMP048</x:v>
      </x:c>
      <x:c r="B566" s="56" t="str">
        <x:v>Matthew King</x:v>
      </x:c>
      <x:c r="C566" s="56" t="str">
        <x:v>Senior AE</x:v>
      </x:c>
      <x:c r="D566" s="56" t="str">
        <x:v>2026-01</x:v>
      </x:c>
      <x:c r="E566" s="72" t="n">
        <x:v>120400.00000000001</x:v>
      </x:c>
      <x:c r="F566" s="72" t="n">
        <x:v>124563.97000000002</x:v>
      </x:c>
      <x:c r="G566" s="72" t="n">
        <x:v>124563.97000000002</x:v>
      </x:c>
      <x:c r="H566" s="72" t="n">
        <x:v>0</x:v>
      </x:c>
      <x:c r="I566" s="56" t="n">
        <x:v>0</x:v>
      </x:c>
      <x:c r="J566" s="56" t="n">
        <x:v>0</x:v>
      </x:c>
      <x:c r="K566" s="68" t="n">
        <x:f>IF(E566&lt;=0,"",G566/E566)</x:f>
        <x:v>1.0345844684385381</x:v>
      </x:c>
      <x:c r="L566" t="str">
        <x:f>IF(K566="","Not Calculated",IF(K566&lt;0.8,"Below 80%",IF(K566&lt;1,"80%-99.99%",IF(K566&lt;1.1,"100%-109.99%",IF(K566&lt;1.75,"110%-174.99%","175%+ Review")))))</x:f>
        <x:v>100%-109.99%</x:v>
      </x:c>
      <x:c r="M566" s="56" t="str">
        <x:v>Ready for Commission Calculation</x:v>
      </x:c>
      <x:c r="N566" s="74" t="n">
        <x:f>IF(E566&lt;=0,0,MIN(G566,E566*0.8)*0.01+MAX(0,MIN(G566,E566)-E566*0.8)*0.02)</x:f>
        <x:v>1444.8000000000002</x:v>
      </x:c>
      <x:c r="O566" s="74" t="n">
        <x:f>IF(E566&lt;=0,0,MAX(0,MIN(G566,E566*1.1)-E566)*0.035+MAX(0,G566-E566*1.1)*0.05)</x:f>
        <x:v>145.73895000000005</x:v>
      </x:c>
      <x:c r="P566" s="74" t="n">
        <x:f>N566+O566</x:f>
        <x:v>1590.53895</x:v>
      </x:c>
      <x:c r="Q566" s="76" t="n">
        <x:f>IF(G566&lt;=0,0,P566/G566)</x:f>
        <x:v>0.01276885242177172</x:v>
      </x:c>
    </x:row>
    <x:row r="567">
      <x:c r="A567" s="56" t="str">
        <x:v>EMP048</x:v>
      </x:c>
      <x:c r="B567" s="56" t="str">
        <x:v>Matthew King</x:v>
      </x:c>
      <x:c r="C567" s="56" t="str">
        <x:v>Senior AE</x:v>
      </x:c>
      <x:c r="D567" s="56" t="str">
        <x:v>2026-02</x:v>
      </x:c>
      <x:c r="E567" s="72" t="n">
        <x:v>120400.00000000001</x:v>
      </x:c>
      <x:c r="F567" s="72" t="n">
        <x:v>133949.23</x:v>
      </x:c>
      <x:c r="G567" s="72" t="n">
        <x:v>132089.32</x:v>
      </x:c>
      <x:c r="H567" s="72" t="n">
        <x:v>1859.9099999999999</x:v>
      </x:c>
      <x:c r="I567" s="56" t="n">
        <x:v>0</x:v>
      </x:c>
      <x:c r="J567" s="56" t="n">
        <x:v>0</x:v>
      </x:c>
      <x:c r="K567" s="68" t="n">
        <x:f>IF(E567&lt;=0,"",G567/E567)</x:f>
        <x:v>1.0970873754152823</x:v>
      </x:c>
      <x:c r="L567" t="str">
        <x:f>IF(K567="","Not Calculated",IF(K567&lt;0.8,"Below 80%",IF(K567&lt;1,"80%-99.99%",IF(K567&lt;1.1,"100%-109.99%",IF(K567&lt;1.75,"110%-174.99%","175%+ Review")))))</x:f>
        <x:v>100%-109.99%</x:v>
      </x:c>
      <x:c r="M567" s="56" t="str">
        <x:v>Ready for Commission Calculation</x:v>
      </x:c>
      <x:c r="N567" s="74" t="n">
        <x:f>IF(E567&lt;=0,0,MIN(G567,E567*0.8)*0.01+MAX(0,MIN(G567,E567)-E567*0.8)*0.02)</x:f>
        <x:v>1444.8000000000002</x:v>
      </x:c>
      <x:c r="O567" s="74" t="n">
        <x:f>IF(E567&lt;=0,0,MAX(0,MIN(G567,E567*1.1)-E567)*0.035+MAX(0,G567-E567*1.1)*0.05)</x:f>
        <x:v>409.12619999999976</x:v>
      </x:c>
      <x:c r="P567" s="74" t="n">
        <x:f>N567+O567</x:f>
        <x:v>1853.9261999999999</x:v>
      </x:c>
      <x:c r="Q567" s="76" t="n">
        <x:f>IF(G567&lt;=0,0,P567/G567)</x:f>
        <x:v>0.014035398168451467</x:v>
      </x:c>
    </x:row>
    <x:row r="568">
      <x:c r="A568" s="56" t="str">
        <x:v>EMP048</x:v>
      </x:c>
      <x:c r="B568" s="56" t="str">
        <x:v>Matthew King</x:v>
      </x:c>
      <x:c r="C568" s="56" t="str">
        <x:v>Senior AE</x:v>
      </x:c>
      <x:c r="D568" s="56" t="str">
        <x:v>2026-03</x:v>
      </x:c>
      <x:c r="E568" s="72" t="n">
        <x:v>137600</x:v>
      </x:c>
      <x:c r="F568" s="72" t="n">
        <x:v>149413.25999999998</x:v>
      </x:c>
      <x:c r="G568" s="72" t="n">
        <x:v>146822.53</x:v>
      </x:c>
      <x:c r="H568" s="72" t="n">
        <x:v>2590.73</x:v>
      </x:c>
      <x:c r="I568" s="56" t="n">
        <x:v>0</x:v>
      </x:c>
      <x:c r="J568" s="56" t="n">
        <x:v>0</x:v>
      </x:c>
      <x:c r="K568" s="68" t="n">
        <x:f>IF(E568&lt;=0,"",G568/E568)</x:f>
        <x:v>1.0670242005813952</x:v>
      </x:c>
      <x:c r="L568" t="str">
        <x:f>IF(K568="","Not Calculated",IF(K568&lt;0.8,"Below 80%",IF(K568&lt;1,"80%-99.99%",IF(K568&lt;1.1,"100%-109.99%",IF(K568&lt;1.75,"110%-174.99%","175%+ Review")))))</x:f>
        <x:v>100%-109.99%</x:v>
      </x:c>
      <x:c r="M568" s="56" t="str">
        <x:v>Ready for Commission Calculation</x:v>
      </x:c>
      <x:c r="N568" s="74" t="n">
        <x:f>IF(E568&lt;=0,0,MIN(G568,E568*0.8)*0.01+MAX(0,MIN(G568,E568)-E568*0.8)*0.02)</x:f>
        <x:v>1651.1999999999998</x:v>
      </x:c>
      <x:c r="O568" s="74" t="n">
        <x:f>IF(E568&lt;=0,0,MAX(0,MIN(G568,E568*1.1)-E568)*0.035+MAX(0,G568-E568*1.1)*0.05)</x:f>
        <x:v>322.78855</x:v>
      </x:c>
      <x:c r="P568" s="74" t="n">
        <x:f>N568+O568</x:f>
        <x:v>1973.9885499999998</x:v>
      </x:c>
      <x:c r="Q568" s="76" t="n">
        <x:f>IF(G568&lt;=0,0,P568/G568)</x:f>
        <x:v>0.013444725070464321</x:v>
      </x:c>
    </x:row>
    <x:row r="569">
      <x:c r="A569" s="56" t="str">
        <x:v>EMP048</x:v>
      </x:c>
      <x:c r="B569" s="56" t="str">
        <x:v>Matthew King</x:v>
      </x:c>
      <x:c r="C569" s="56" t="str">
        <x:v>Senior AE</x:v>
      </x:c>
      <x:c r="D569" s="56" t="str">
        <x:v>2026-04</x:v>
      </x:c>
      <x:c r="E569" s="72" t="n">
        <x:v>137600</x:v>
      </x:c>
      <x:c r="F569" s="72" t="n">
        <x:v>130081.16999999998</x:v>
      </x:c>
      <x:c r="G569" s="72" t="n">
        <x:v>130081.16999999998</x:v>
      </x:c>
      <x:c r="H569" s="72" t="n">
        <x:v>0</x:v>
      </x:c>
      <x:c r="I569" s="56" t="n">
        <x:v>0</x:v>
      </x:c>
      <x:c r="J569" s="56" t="n">
        <x:v>0</x:v>
      </x:c>
      <x:c r="K569" s="68" t="n">
        <x:f>IF(E569&lt;=0,"",G569/E569)</x:f>
        <x:v>0.9453573401162789</x:v>
      </x:c>
      <x:c r="L569" t="str">
        <x:f>IF(K569="","Not Calculated",IF(K569&lt;0.8,"Below 80%",IF(K569&lt;1,"80%-99.99%",IF(K569&lt;1.1,"100%-109.99%",IF(K569&lt;1.75,"110%-174.99%","175%+ Review")))))</x:f>
        <x:v>80%-99.99%</x:v>
      </x:c>
      <x:c r="M569" s="56" t="str">
        <x:v>Ready for Commission Calculation</x:v>
      </x:c>
      <x:c r="N569" s="74" t="n">
        <x:f>IF(E569&lt;=0,0,MIN(G569,E569*0.8)*0.01+MAX(0,MIN(G569,E569)-E569*0.8)*0.02)</x:f>
        <x:v>1500.8233999999998</x:v>
      </x:c>
      <x:c r="O569" s="74" t="n">
        <x:f>IF(E569&lt;=0,0,MAX(0,MIN(G569,E569*1.1)-E569)*0.035+MAX(0,G569-E569*1.1)*0.05)</x:f>
        <x:v>0</x:v>
      </x:c>
      <x:c r="P569" s="74" t="n">
        <x:f>N569+O569</x:f>
        <x:v>1500.8233999999998</x:v>
      </x:c>
      <x:c r="Q569" s="76" t="n">
        <x:f>IF(G569&lt;=0,0,P569/G569)</x:f>
        <x:v>0.011537591489990442</x:v>
      </x:c>
    </x:row>
    <x:row r="570">
      <x:c r="A570" s="56" t="str">
        <x:v>EMP048</x:v>
      </x:c>
      <x:c r="B570" s="56" t="str">
        <x:v>Matthew King</x:v>
      </x:c>
      <x:c r="C570" s="56" t="str">
        <x:v>Senior AE</x:v>
      </x:c>
      <x:c r="D570" s="56" t="str">
        <x:v>2026-05</x:v>
      </x:c>
      <x:c r="E570" s="72" t="n">
        <x:v>137600</x:v>
      </x:c>
      <x:c r="F570" s="72" t="n">
        <x:v>128788.31</x:v>
      </x:c>
      <x:c r="G570" s="72" t="n">
        <x:v>128788.31</x:v>
      </x:c>
      <x:c r="H570" s="72" t="n">
        <x:v>0</x:v>
      </x:c>
      <x:c r="I570" s="56" t="n">
        <x:v>0</x:v>
      </x:c>
      <x:c r="J570" s="56" t="n">
        <x:v>0</x:v>
      </x:c>
      <x:c r="K570" s="68" t="n">
        <x:f>IF(E570&lt;=0,"",G570/E570)</x:f>
        <x:v>0.9359615552325581</x:v>
      </x:c>
      <x:c r="L570" t="str">
        <x:f>IF(K570="","Not Calculated",IF(K570&lt;0.8,"Below 80%",IF(K570&lt;1,"80%-99.99%",IF(K570&lt;1.1,"100%-109.99%",IF(K570&lt;1.75,"110%-174.99%","175%+ Review")))))</x:f>
        <x:v>80%-99.99%</x:v>
      </x:c>
      <x:c r="M570" s="56" t="str">
        <x:v>Ready for Commission Calculation</x:v>
      </x:c>
      <x:c r="N570" s="74" t="n">
        <x:f>IF(E570&lt;=0,0,MIN(G570,E570*0.8)*0.01+MAX(0,MIN(G570,E570)-E570*0.8)*0.02)</x:f>
        <x:v>1474.9661999999998</x:v>
      </x:c>
      <x:c r="O570" s="74" t="n">
        <x:f>IF(E570&lt;=0,0,MAX(0,MIN(G570,E570*1.1)-E570)*0.035+MAX(0,G570-E570*1.1)*0.05)</x:f>
        <x:v>0</x:v>
      </x:c>
      <x:c r="P570" s="74" t="n">
        <x:f>N570+O570</x:f>
        <x:v>1474.9661999999998</x:v>
      </x:c>
      <x:c r="Q570" s="76" t="n">
        <x:f>IF(G570&lt;=0,0,P570/G570)</x:f>
        <x:v>0.011452640383277021</x:v>
      </x:c>
    </x:row>
    <x:row r="571">
      <x:c r="A571" s="56" t="str">
        <x:v>EMP048</x:v>
      </x:c>
      <x:c r="B571" s="56" t="str">
        <x:v>Matthew King</x:v>
      </x:c>
      <x:c r="C571" s="56" t="str">
        <x:v>Senior AE</x:v>
      </x:c>
      <x:c r="D571" s="56" t="str">
        <x:v>2026-06</x:v>
      </x:c>
      <x:c r="E571" s="72" t="n">
        <x:v>154800</x:v>
      </x:c>
      <x:c r="F571" s="72" t="n">
        <x:v>159719.37</x:v>
      </x:c>
      <x:c r="G571" s="72" t="n">
        <x:v>159156.31</x:v>
      </x:c>
      <x:c r="H571" s="72" t="n">
        <x:v>563.06</x:v>
      </x:c>
      <x:c r="I571" s="56" t="n">
        <x:v>0</x:v>
      </x:c>
      <x:c r="J571" s="56" t="n">
        <x:v>0</x:v>
      </x:c>
      <x:c r="K571" s="68" t="n">
        <x:f>IF(E571&lt;=0,"",G571/E571)</x:f>
        <x:v>1.0281415374677003</x:v>
      </x:c>
      <x:c r="L571" t="str">
        <x:f>IF(K571="","Not Calculated",IF(K571&lt;0.8,"Below 80%",IF(K571&lt;1,"80%-99.99%",IF(K571&lt;1.1,"100%-109.99%",IF(K571&lt;1.75,"110%-174.99%","175%+ Review")))))</x:f>
        <x:v>100%-109.99%</x:v>
      </x:c>
      <x:c r="M571" s="56" t="str">
        <x:v>Ready for Commission Calculation</x:v>
      </x:c>
      <x:c r="N571" s="74" t="n">
        <x:f>IF(E571&lt;=0,0,MIN(G571,E571*0.8)*0.01+MAX(0,MIN(G571,E571)-E571*0.8)*0.02)</x:f>
        <x:v>1857.6000000000001</x:v>
      </x:c>
      <x:c r="O571" s="74" t="n">
        <x:f>IF(E571&lt;=0,0,MAX(0,MIN(G571,E571*1.1)-E571)*0.035+MAX(0,G571-E571*1.1)*0.05)</x:f>
        <x:v>152.47084999999993</x:v>
      </x:c>
      <x:c r="P571" s="74" t="n">
        <x:f>N571+O571</x:f>
        <x:v>2010.07085</x:v>
      </x:c>
      <x:c r="Q571" s="76" t="n">
        <x:f>IF(G571&lt;=0,0,P571/G571)</x:f>
        <x:v>0.012629539161846615</x:v>
      </x:c>
    </x:row>
    <x:row r="572">
      <x:c r="A572" s="56" t="str">
        <x:v>EMP048</x:v>
      </x:c>
      <x:c r="B572" s="56" t="str">
        <x:v>Matthew King</x:v>
      </x:c>
      <x:c r="C572" s="56" t="str">
        <x:v>Senior AE</x:v>
      </x:c>
      <x:c r="D572" s="56" t="str">
        <x:v>2026-07</x:v>
      </x:c>
      <x:c r="E572" s="72" t="n">
        <x:v>120400.00000000001</x:v>
      </x:c>
      <x:c r="F572" s="72" t="n">
        <x:v>111214.84999999998</x:v>
      </x:c>
      <x:c r="G572" s="72" t="n">
        <x:v>111016.49999999997</x:v>
      </x:c>
      <x:c r="H572" s="72" t="n">
        <x:v>198.35</x:v>
      </x:c>
      <x:c r="I572" s="56" t="n">
        <x:v>0</x:v>
      </x:c>
      <x:c r="J572" s="56" t="n">
        <x:v>0</x:v>
      </x:c>
      <x:c r="K572" s="68" t="n">
        <x:f>IF(E572&lt;=0,"",G572/E572)</x:f>
        <x:v>0.9220639534883718</x:v>
      </x:c>
      <x:c r="L572" t="str">
        <x:f>IF(K572="","Not Calculated",IF(K572&lt;0.8,"Below 80%",IF(K572&lt;1,"80%-99.99%",IF(K572&lt;1.1,"100%-109.99%",IF(K572&lt;1.75,"110%-174.99%","175%+ Review")))))</x:f>
        <x:v>80%-99.99%</x:v>
      </x:c>
      <x:c r="M572" s="56" t="str">
        <x:v>Ready for Commission Calculation</x:v>
      </x:c>
      <x:c r="N572" s="74" t="n">
        <x:f>IF(E572&lt;=0,0,MIN(G572,E572*0.8)*0.01+MAX(0,MIN(G572,E572)-E572*0.8)*0.02)</x:f>
        <x:v>1257.1299999999992</x:v>
      </x:c>
      <x:c r="O572" s="74" t="n">
        <x:f>IF(E572&lt;=0,0,MAX(0,MIN(G572,E572*1.1)-E572)*0.035+MAX(0,G572-E572*1.1)*0.05)</x:f>
        <x:v>0</x:v>
      </x:c>
      <x:c r="P572" s="74" t="n">
        <x:f>N572+O572</x:f>
        <x:v>1257.1299999999992</x:v>
      </x:c>
      <x:c r="Q572" s="76" t="n">
        <x:f>IF(G572&lt;=0,0,P572/G572)</x:f>
        <x:v>0.011323812226110529</x:v>
      </x:c>
    </x:row>
    <x:row r="573">
      <x:c r="A573" s="56" t="str">
        <x:v>EMP048</x:v>
      </x:c>
      <x:c r="B573" s="56" t="str">
        <x:v>Matthew King</x:v>
      </x:c>
      <x:c r="C573" s="56" t="str">
        <x:v>Senior AE</x:v>
      </x:c>
      <x:c r="D573" s="56" t="str">
        <x:v>2026-08</x:v>
      </x:c>
      <x:c r="E573" s="72" t="n">
        <x:v>120400.00000000001</x:v>
      </x:c>
      <x:c r="F573" s="72" t="n">
        <x:v>129972.41</x:v>
      </x:c>
      <x:c r="G573" s="72" t="n">
        <x:v>128698.19</x:v>
      </x:c>
      <x:c r="H573" s="72" t="n">
        <x:v>1274.22</x:v>
      </x:c>
      <x:c r="I573" s="56" t="n">
        <x:v>0</x:v>
      </x:c>
      <x:c r="J573" s="56" t="n">
        <x:v>0</x:v>
      </x:c>
      <x:c r="K573" s="68" t="n">
        <x:f>IF(E573&lt;=0,"",G573/E573)</x:f>
        <x:v>1.0689218438538204</x:v>
      </x:c>
      <x:c r="L573" t="str">
        <x:f>IF(K573="","Not Calculated",IF(K573&lt;0.8,"Below 80%",IF(K573&lt;1,"80%-99.99%",IF(K573&lt;1.1,"100%-109.99%",IF(K573&lt;1.75,"110%-174.99%","175%+ Review")))))</x:f>
        <x:v>100%-109.99%</x:v>
      </x:c>
      <x:c r="M573" s="56" t="str">
        <x:v>Ready for Commission Calculation</x:v>
      </x:c>
      <x:c r="N573" s="74" t="n">
        <x:f>IF(E573&lt;=0,0,MIN(G573,E573*0.8)*0.01+MAX(0,MIN(G573,E573)-E573*0.8)*0.02)</x:f>
        <x:v>1444.8000000000002</x:v>
      </x:c>
      <x:c r="O573" s="74" t="n">
        <x:f>IF(E573&lt;=0,0,MAX(0,MIN(G573,E573*1.1)-E573)*0.035+MAX(0,G573-E573*1.1)*0.05)</x:f>
        <x:v>290.4366499999996</x:v>
      </x:c>
      <x:c r="P573" s="74" t="n">
        <x:f>N573+O573</x:f>
        <x:v>1735.2366499999998</x:v>
      </x:c>
      <x:c r="Q573" s="76" t="n">
        <x:f>IF(G573&lt;=0,0,P573/G573)</x:f>
        <x:v>0.013482991874244694</x:v>
      </x:c>
    </x:row>
    <x:row r="574">
      <x:c r="A574" s="56" t="str">
        <x:v>EMP048</x:v>
      </x:c>
      <x:c r="B574" s="56" t="str">
        <x:v>Matthew King</x:v>
      </x:c>
      <x:c r="C574" s="56" t="str">
        <x:v>Senior AE</x:v>
      </x:c>
      <x:c r="D574" s="56" t="str">
        <x:v>2026-09</x:v>
      </x:c>
      <x:c r="E574" s="72" t="n">
        <x:v>172000</x:v>
      </x:c>
      <x:c r="F574" s="72" t="n">
        <x:v>174338.19</x:v>
      </x:c>
      <x:c r="G574" s="72" t="n">
        <x:v>174338.19</x:v>
      </x:c>
      <x:c r="H574" s="72" t="n">
        <x:v>0</x:v>
      </x:c>
      <x:c r="I574" s="56" t="n">
        <x:v>0</x:v>
      </x:c>
      <x:c r="J574" s="56" t="n">
        <x:v>0</x:v>
      </x:c>
      <x:c r="K574" s="68" t="n">
        <x:f>IF(E574&lt;=0,"",G574/E574)</x:f>
        <x:v>1.0135941279069767</x:v>
      </x:c>
      <x:c r="L574" t="str">
        <x:f>IF(K574="","Not Calculated",IF(K574&lt;0.8,"Below 80%",IF(K574&lt;1,"80%-99.99%",IF(K574&lt;1.1,"100%-109.99%",IF(K574&lt;1.75,"110%-174.99%","175%+ Review")))))</x:f>
        <x:v>100%-109.99%</x:v>
      </x:c>
      <x:c r="M574" s="56" t="str">
        <x:v>Ready for Commission Calculation</x:v>
      </x:c>
      <x:c r="N574" s="74" t="n">
        <x:f>IF(E574&lt;=0,0,MIN(G574,E574*0.8)*0.01+MAX(0,MIN(G574,E574)-E574*0.8)*0.02)</x:f>
        <x:v>2064</x:v>
      </x:c>
      <x:c r="O574" s="74" t="n">
        <x:f>IF(E574&lt;=0,0,MAX(0,MIN(G574,E574*1.1)-E574)*0.035+MAX(0,G574-E574*1.1)*0.05)</x:f>
        <x:v>81.83665000000009</x:v>
      </x:c>
      <x:c r="P574" s="74" t="n">
        <x:f>N574+O574</x:f>
        <x:v>2145.83665</x:v>
      </x:c>
      <x:c r="Q574" s="76" t="n">
        <x:f>IF(G574&lt;=0,0,P574/G574)</x:f>
        <x:v>0.012308471540286154</x:v>
      </x:c>
    </x:row>
    <x:row r="575">
      <x:c r="A575" s="56" t="str">
        <x:v>EMP048</x:v>
      </x:c>
      <x:c r="B575" s="56" t="str">
        <x:v>Matthew King</x:v>
      </x:c>
      <x:c r="C575" s="56" t="str">
        <x:v>Senior AE</x:v>
      </x:c>
      <x:c r="D575" s="56" t="str">
        <x:v>2026-10</x:v>
      </x:c>
      <x:c r="E575" s="72" t="n">
        <x:v>172000</x:v>
      </x:c>
      <x:c r="F575" s="72" t="n">
        <x:v>203127.44999999998</x:v>
      </x:c>
      <x:c r="G575" s="72" t="n">
        <x:v>203127.44999999998</x:v>
      </x:c>
      <x:c r="H575" s="72" t="n">
        <x:v>0</x:v>
      </x:c>
      <x:c r="I575" s="56" t="n">
        <x:v>0</x:v>
      </x:c>
      <x:c r="J575" s="56" t="n">
        <x:v>0</x:v>
      </x:c>
      <x:c r="K575" s="68" t="n">
        <x:f>IF(E575&lt;=0,"",G575/E575)</x:f>
        <x:v>1.1809735465116278</x:v>
      </x:c>
      <x:c r="L575" t="str">
        <x:f>IF(K575="","Not Calculated",IF(K575&lt;0.8,"Below 80%",IF(K575&lt;1,"80%-99.99%",IF(K575&lt;1.1,"100%-109.99%",IF(K575&lt;1.75,"110%-174.99%","175%+ Review")))))</x:f>
        <x:v>110%-174.99%</x:v>
      </x:c>
      <x:c r="M575" s="56" t="str">
        <x:v>Ready for Commission Calculation</x:v>
      </x:c>
      <x:c r="N575" s="74" t="n">
        <x:f>IF(E575&lt;=0,0,MIN(G575,E575*0.8)*0.01+MAX(0,MIN(G575,E575)-E575*0.8)*0.02)</x:f>
        <x:v>2064</x:v>
      </x:c>
      <x:c r="O575" s="74" t="n">
        <x:f>IF(E575&lt;=0,0,MAX(0,MIN(G575,E575*1.1)-E575)*0.035+MAX(0,G575-E575*1.1)*0.05)</x:f>
        <x:v>1298.3724999999986</x:v>
      </x:c>
      <x:c r="P575" s="74" t="n">
        <x:f>N575+O575</x:f>
        <x:v>3362.3724999999986</x:v>
      </x:c>
      <x:c r="Q575" s="76" t="n">
        <x:f>IF(G575&lt;=0,0,P575/G575)</x:f>
        <x:v>0.016553018806665466</x:v>
      </x:c>
    </x:row>
    <x:row r="576">
      <x:c r="A576" s="56" t="str">
        <x:v>EMP048</x:v>
      </x:c>
      <x:c r="B576" s="56" t="str">
        <x:v>Matthew King</x:v>
      </x:c>
      <x:c r="C576" s="56" t="str">
        <x:v>Senior AE</x:v>
      </x:c>
      <x:c r="D576" s="56" t="str">
        <x:v>2026-11</x:v>
      </x:c>
      <x:c r="E576" s="72" t="n">
        <x:v>154800</x:v>
      </x:c>
      <x:c r="F576" s="72" t="n">
        <x:v>166947.45</x:v>
      </x:c>
      <x:c r="G576" s="72" t="n">
        <x:v>166672.44</x:v>
      </x:c>
      <x:c r="H576" s="72" t="n">
        <x:v>275.01</x:v>
      </x:c>
      <x:c r="I576" s="56" t="n">
        <x:v>0</x:v>
      </x:c>
      <x:c r="J576" s="56" t="n">
        <x:v>0</x:v>
      </x:c>
      <x:c r="K576" s="68" t="n">
        <x:f>IF(E576&lt;=0,"",G576/E576)</x:f>
        <x:v>1.0766953488372093</x:v>
      </x:c>
      <x:c r="L576" t="str">
        <x:f>IF(K576="","Not Calculated",IF(K576&lt;0.8,"Below 80%",IF(K576&lt;1,"80%-99.99%",IF(K576&lt;1.1,"100%-109.99%",IF(K576&lt;1.75,"110%-174.99%","175%+ Review")))))</x:f>
        <x:v>100%-109.99%</x:v>
      </x:c>
      <x:c r="M576" s="56" t="str">
        <x:v>Ready for Commission Calculation</x:v>
      </x:c>
      <x:c r="N576" s="74" t="n">
        <x:f>IF(E576&lt;=0,0,MIN(G576,E576*0.8)*0.01+MAX(0,MIN(G576,E576)-E576*0.8)*0.02)</x:f>
        <x:v>1857.6000000000001</x:v>
      </x:c>
      <x:c r="O576" s="74" t="n">
        <x:f>IF(E576&lt;=0,0,MAX(0,MIN(G576,E576*1.1)-E576)*0.035+MAX(0,G576-E576*1.1)*0.05)</x:f>
        <x:v>415.5354000000001</x:v>
      </x:c>
      <x:c r="P576" s="74" t="n">
        <x:f>N576+O576</x:f>
        <x:v>2273.1354</x:v>
      </x:c>
      <x:c r="Q576" s="76" t="n">
        <x:f>IF(G576&lt;=0,0,P576/G576)</x:f>
        <x:v>0.013638339967903512</x:v>
      </x:c>
    </x:row>
    <x:row r="577">
      <x:c r="A577" s="56" t="str">
        <x:v>EMP048</x:v>
      </x:c>
      <x:c r="B577" s="56" t="str">
        <x:v>Matthew King</x:v>
      </x:c>
      <x:c r="C577" s="56" t="str">
        <x:v>Senior AE</x:v>
      </x:c>
      <x:c r="D577" s="56" t="str">
        <x:v>2026-12</x:v>
      </x:c>
      <x:c r="E577" s="72" t="n">
        <x:v>172000</x:v>
      </x:c>
      <x:c r="F577" s="72" t="n">
        <x:v>203200.66999999998</x:v>
      </x:c>
      <x:c r="G577" s="72" t="n">
        <x:v>201398.78000000003</x:v>
      </x:c>
      <x:c r="H577" s="72" t="n">
        <x:v>1801.89</x:v>
      </x:c>
      <x:c r="I577" s="56" t="n">
        <x:v>0</x:v>
      </x:c>
      <x:c r="J577" s="56" t="n">
        <x:v>0</x:v>
      </x:c>
      <x:c r="K577" s="68" t="n">
        <x:f>IF(E577&lt;=0,"",G577/E577)</x:f>
        <x:v>1.1709231395348838</x:v>
      </x:c>
      <x:c r="L577" t="str">
        <x:f>IF(K577="","Not Calculated",IF(K577&lt;0.8,"Below 80%",IF(K577&lt;1,"80%-99.99%",IF(K577&lt;1.1,"100%-109.99%",IF(K577&lt;1.75,"110%-174.99%","175%+ Review")))))</x:f>
        <x:v>110%-174.99%</x:v>
      </x:c>
      <x:c r="M577" s="56" t="str">
        <x:v>Ready for Commission Calculation</x:v>
      </x:c>
      <x:c r="N577" s="74" t="n">
        <x:f>IF(E577&lt;=0,0,MIN(G577,E577*0.8)*0.01+MAX(0,MIN(G577,E577)-E577*0.8)*0.02)</x:f>
        <x:v>2064</x:v>
      </x:c>
      <x:c r="O577" s="74" t="n">
        <x:f>IF(E577&lt;=0,0,MAX(0,MIN(G577,E577*1.1)-E577)*0.035+MAX(0,G577-E577*1.1)*0.05)</x:f>
        <x:v>1211.939000000001</x:v>
      </x:c>
      <x:c r="P577" s="74" t="n">
        <x:f>N577+O577</x:f>
        <x:v>3275.939000000001</x:v>
      </x:c>
      <x:c r="Q577" s="76" t="n">
        <x:f>IF(G577&lt;=0,0,P577/G577)</x:f>
        <x:v>0.01626593269333608</x:v>
      </x:c>
    </x:row>
  </x:sheetData>
  <x:conditionalFormatting sqref="K2:K57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577">
    <x:cfRule type="expression" dxfId="3" priority="2">
      <x:formula>LEFT(M2,4)="HOLD"</x:formula>
    </x:cfRule>
    <x:cfRule type="expression" dxfId="4" priority="3">
      <x:formula>LEFT(M2,6)="Review"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20" hidden="0" customWidth="1"/>
    <x:col min="9" max="9" width="19" hidden="0" customWidth="1"/>
    <x:col min="10" max="10" width="21" hidden="0" customWidth="1"/>
    <x:col min="11" max="11" width="20" hidden="0" customWidth="1"/>
    <x:col min="12" max="12" width="16" hidden="0" customWidth="1"/>
    <x:col min="13" max="13" width="20" hidden="0" customWidth="1"/>
    <x:col min="14" max="14" width="20" hidden="0" customWidth="1"/>
    <x:col min="15" max="15" width="20" hidden="0" customWidth="1"/>
    <x:col min="16" max="16" width="31" hidden="0" customWidth="1"/>
    <x:col min="17" max="17" width="19" hidden="0" customWidth="1"/>
    <x:col min="18" max="18" width="28" hidden="0" customWidth="1"/>
    <x:col min="19" max="19" width="20" hidden="0" customWidth="1"/>
  </x:cols>
  <x:sheetData>
    <x:row r="1">
      <x:c r="A1" s="63" t="str">
        <x:v>Employee_ID</x:v>
      </x:c>
      <x:c r="B1" s="63" t="str">
        <x:v>Employee_Name</x:v>
      </x:c>
      <x:c r="C1" s="63" t="str">
        <x:v>Region</x:v>
      </x:c>
      <x:c r="D1" s="63" t="str">
        <x:v>Role</x:v>
      </x:c>
      <x:c r="E1" s="63" t="str">
        <x:v>SPIFF_Eligible</x:v>
      </x:c>
      <x:c r="F1" s="63" t="str">
        <x:v>Q3_Effective_Quota</x:v>
      </x:c>
      <x:c r="G1" s="63" t="str">
        <x:v>TSVC_Target</x:v>
      </x:c>
      <x:c r="H1" s="63" t="str">
        <x:v>Q3_All_Eligible_Sales</x:v>
      </x:c>
      <x:c r="I1" s="63" t="str">
        <x:v>Q3_TSVC_Raw_Revenue</x:v>
      </x:c>
      <x:c r="J1" s="63" t="str">
        <x:v>Q3_TSVC_Eligible_Sales</x:v>
      </x:c>
      <x:c r="K1" s="63" t="str">
        <x:v>TSVC_Excluded_Revenue</x:v>
      </x:c>
      <x:c r="L1" s="63" t="str">
        <x:v>TSVC_Attainment</x:v>
      </x:c>
      <x:c r="M1" s="63" t="str">
        <x:v>Award_Tier</x:v>
      </x:c>
      <x:c r="N1" s="63" t="str">
        <x:v>Working_SPIFF_Award</x:v>
      </x:c>
      <x:c r="O1" s="63" t="str">
        <x:v>TSVC_Control_Issue_Rows</x:v>
      </x:c>
      <x:c r="P1" s="63" t="str">
        <x:v>SPIFF_Calculation_Status</x:v>
      </x:c>
      <x:c r="Q1" s="63" t="str">
        <x:v>Q3_Core_Commission</x:v>
      </x:c>
      <x:c r="R1" s="63" t="str">
        <x:v>Q3_Total_Variable_Before_Adjustments</x:v>
      </x:c>
      <x:c r="S1" s="63" t="str">
        <x:v>TSVC_Share_of_Q3_Sales</x:v>
      </x:c>
    </x:row>
    <x:row r="2">
      <x:c r="A2" s="56" t="str">
        <x:v>EMP001</x:v>
      </x:c>
      <x:c r="B2" s="56" t="str">
        <x:v>Omar Farouk</x:v>
      </x:c>
      <x:c r="C2" s="56" t="str">
        <x:v>Ontario</x:v>
      </x:c>
      <x:c r="D2" s="56" t="str">
        <x:v>AE II</x:v>
      </x:c>
      <x:c r="E2" s="80" t="b">
        <x:v>1</x:v>
      </x:c>
      <x:c r="F2" s="72" t="n">
        <x:v>312000</x:v>
      </x:c>
      <x:c r="G2" s="72" t="n">
        <x:v>37440</x:v>
      </x:c>
      <x:c r="H2" s="72" t="n">
        <x:v>326668.05999999994</x:v>
      </x:c>
      <x:c r="I2" s="72" t="n">
        <x:v>23831.27</x:v>
      </x:c>
      <x:c r="J2" s="72" t="n">
        <x:v>23831.27</x:v>
      </x:c>
      <x:c r="K2" s="72" t="n">
        <x:v>0</x:v>
      </x:c>
      <x:c r="L2" s="60" t="n">
        <x:v>0.6365189636752137</x:v>
      </x:c>
      <x:c r="M2" s="56" t="str">
        <x:v>&lt;80%</x:v>
      </x:c>
      <x:c r="N2" s="72" t="n">
        <x:v>0</x:v>
      </x:c>
      <x:c r="O2" s="56" t="n">
        <x:v>0</x:v>
      </x:c>
      <x:c r="P2" s="56" t="str">
        <x:v>Calculated - Control Clear</x:v>
      </x:c>
      <x:c r="Q2" s="72" t="n">
        <x:v>4318.352749999998</x:v>
      </x:c>
      <x:c r="R2" s="72" t="n">
        <x:v>4318.352749999998</x:v>
      </x:c>
      <x:c r="S2" s="60" t="n">
        <x:v>0.07295255618195426</x:v>
      </x:c>
    </x:row>
    <x:row r="3">
      <x:c r="A3" s="56" t="str">
        <x:v>EMP002</x:v>
      </x:c>
      <x:c r="B3" s="56" t="str">
        <x:v>Noah Patel</x:v>
      </x:c>
      <x:c r="C3" s="56" t="str">
        <x:v>Ontario</x:v>
      </x:c>
      <x:c r="D3" s="56" t="str">
        <x:v>AE I</x:v>
      </x:c>
      <x:c r="E3" s="80" t="b">
        <x:v>1</x:v>
      </x:c>
      <x:c r="F3" s="72" t="n">
        <x:v>254400</x:v>
      </x:c>
      <x:c r="G3" s="72" t="n">
        <x:v>30528</x:v>
      </x:c>
      <x:c r="H3" s="72" t="n">
        <x:v>241870.15000000002</x:v>
      </x:c>
      <x:c r="I3" s="72" t="n">
        <x:v>21439.78</x:v>
      </x:c>
      <x:c r="J3" s="72" t="n">
        <x:v>21439.78</x:v>
      </x:c>
      <x:c r="K3" s="72" t="n">
        <x:v>0</x:v>
      </x:c>
      <x:c r="L3" s="60" t="n">
        <x:v>0.7022988731656185</x:v>
      </x:c>
      <x:c r="M3" s="56" t="str">
        <x:v>&lt;80%</x:v>
      </x:c>
      <x:c r="N3" s="72" t="n">
        <x:v>0</x:v>
      </x:c>
      <x:c r="O3" s="56" t="n">
        <x:v>0</x:v>
      </x:c>
      <x:c r="P3" s="56" t="str">
        <x:v>Calculated - Control Clear</x:v>
      </x:c>
      <x:c r="Q3" s="72" t="n">
        <x:v>2802.203</x:v>
      </x:c>
      <x:c r="R3" s="72" t="n">
        <x:v>2802.203</x:v>
      </x:c>
      <x:c r="S3" s="60" t="n">
        <x:v>0.08864169472752217</x:v>
      </x:c>
    </x:row>
    <x:row r="4">
      <x:c r="A4" s="56" t="str">
        <x:v>EMP003</x:v>
      </x:c>
      <x:c r="B4" s="56" t="str">
        <x:v>Olivia Martin</x:v>
      </x:c>
      <x:c r="C4" s="56" t="str">
        <x:v>Ontario</x:v>
      </x:c>
      <x:c r="D4" s="56" t="str">
        <x:v>AE I</x:v>
      </x:c>
      <x:c r="E4" s="80" t="b">
        <x:v>1</x:v>
      </x:c>
      <x:c r="F4" s="72" t="n">
        <x:v>223200</x:v>
      </x:c>
      <x:c r="G4" s="72" t="n">
        <x:v>26784</x:v>
      </x:c>
      <x:c r="H4" s="72" t="n">
        <x:v>220503.39</x:v>
      </x:c>
      <x:c r="I4" s="72" t="n">
        <x:v>22582.11</x:v>
      </x:c>
      <x:c r="J4" s="72" t="n">
        <x:v>22582.11</x:v>
      </x:c>
      <x:c r="K4" s="72" t="n">
        <x:v>0</x:v>
      </x:c>
      <x:c r="L4" s="60" t="n">
        <x:v>0.8431193996415771</x:v>
      </x:c>
      <x:c r="M4" s="56" t="str">
        <x:v>80%-99.99%</x:v>
      </x:c>
      <x:c r="N4" s="72" t="n">
        <x:v>250</x:v>
      </x:c>
      <x:c r="O4" s="56" t="n">
        <x:v>0</x:v>
      </x:c>
      <x:c r="P4" s="56" t="str">
        <x:v>Calculated - Control Clear</x:v>
      </x:c>
      <x:c r="Q4" s="72" t="n">
        <x:v>2763.3310499999993</x:v>
      </x:c>
      <x:c r="R4" s="72" t="n">
        <x:v>3013.3310499999993</x:v>
      </x:c>
      <x:c r="S4" s="60" t="n">
        <x:v>0.10241162278729592</x:v>
      </x:c>
    </x:row>
    <x:row r="5">
      <x:c r="A5" s="56" t="str">
        <x:v>EMP004</x:v>
      </x:c>
      <x:c r="B5" s="56" t="str">
        <x:v>Ethan Wong</x:v>
      </x:c>
      <x:c r="C5" s="56" t="str">
        <x:v>Ontario</x:v>
      </x:c>
      <x:c r="D5" s="56" t="str">
        <x:v>AE I</x:v>
      </x:c>
      <x:c r="E5" s="80" t="b">
        <x:v>1</x:v>
      </x:c>
      <x:c r="F5" s="72" t="n">
        <x:v>242400</x:v>
      </x:c>
      <x:c r="G5" s="72" t="n">
        <x:v>29088</x:v>
      </x:c>
      <x:c r="H5" s="72" t="n">
        <x:v>345498.98</x:v>
      </x:c>
      <x:c r="I5" s="72" t="n">
        <x:v>51109.509999999995</x:v>
      </x:c>
      <x:c r="J5" s="72" t="n">
        <x:v>51109.509999999995</x:v>
      </x:c>
      <x:c r="K5" s="72" t="n">
        <x:v>0</x:v>
      </x:c>
      <x:c r="L5" s="60" t="n">
        <x:v>1.757065112761276</x:v>
      </x:c>
      <x:c r="M5" s="56" t="str">
        <x:v>120%+</x:v>
      </x:c>
      <x:c r="N5" s="72" t="n">
        <x:v>1000</x:v>
      </x:c>
      <x:c r="O5" s="56" t="n">
        <x:v>0</x:v>
      </x:c>
      <x:c r="P5" s="56" t="str">
        <x:v>Calculated - Control Clear</x:v>
      </x:c>
      <x:c r="Q5" s="72" t="n">
        <x:v>7700.148999999999</x:v>
      </x:c>
      <x:c r="R5" s="72" t="n">
        <x:v>8700.149</x:v>
      </x:c>
      <x:c r="S5" s="60" t="n">
        <x:v>0.14792955394542698</x:v>
      </x:c>
    </x:row>
    <x:row r="6">
      <x:c r="A6" s="56" t="str">
        <x:v>EMP005</x:v>
      </x:c>
      <x:c r="B6" s="56" t="str">
        <x:v>Sofia Rossi</x:v>
      </x:c>
      <x:c r="C6" s="56" t="str">
        <x:v>Ontario</x:v>
      </x:c>
      <x:c r="D6" s="56" t="str">
        <x:v>AE I</x:v>
      </x:c>
      <x:c r="E6" s="80" t="b">
        <x:v>1</x:v>
      </x:c>
      <x:c r="F6" s="72" t="n">
        <x:v>247200</x:v>
      </x:c>
      <x:c r="G6" s="72" t="n">
        <x:v>29664</x:v>
      </x:c>
      <x:c r="H6" s="72" t="n">
        <x:v>242994.1</x:v>
      </x:c>
      <x:c r="I6" s="72" t="n">
        <x:v>44953.99000000001</x:v>
      </x:c>
      <x:c r="J6" s="72" t="n">
        <x:v>44953.99000000001</x:v>
      </x:c>
      <x:c r="K6" s="72" t="n">
        <x:v>0</x:v>
      </x:c>
      <x:c r="L6" s="60" t="n">
        <x:v>1.5154392529665592</x:v>
      </x:c>
      <x:c r="M6" s="56" t="str">
        <x:v>120%+</x:v>
      </x:c>
      <x:c r="N6" s="72" t="n">
        <x:v>1000</x:v>
      </x:c>
      <x:c r="O6" s="56" t="n">
        <x:v>0</x:v>
      </x:c>
      <x:c r="P6" s="56" t="str">
        <x:v>Calculated - Control Clear</x:v>
      </x:c>
      <x:c r="Q6" s="72" t="n">
        <x:v>2920.8018500000007</x:v>
      </x:c>
      <x:c r="R6" s="72" t="n">
        <x:v>3920.8018500000007</x:v>
      </x:c>
      <x:c r="S6" s="60" t="n">
        <x:v>0.18500033539908997</x:v>
      </x:c>
    </x:row>
    <x:row r="7">
      <x:c r="A7" s="56" t="str">
        <x:v>EMP006</x:v>
      </x:c>
      <x:c r="B7" s="56" t="str">
        <x:v>Liam Thompson</x:v>
      </x:c>
      <x:c r="C7" s="56" t="str">
        <x:v>Ontario</x:v>
      </x:c>
      <x:c r="D7" s="56" t="str">
        <x:v>AE I</x:v>
      </x:c>
      <x:c r="E7" s="80" t="b">
        <x:v>1</x:v>
      </x:c>
      <x:c r="F7" s="72" t="n">
        <x:v>254400</x:v>
      </x:c>
      <x:c r="G7" s="72" t="n">
        <x:v>30528</x:v>
      </x:c>
      <x:c r="H7" s="72" t="n">
        <x:v>256490.45</x:v>
      </x:c>
      <x:c r="I7" s="72" t="n">
        <x:v>17185.030000000002</x:v>
      </x:c>
      <x:c r="J7" s="72" t="n">
        <x:v>4392.16</x:v>
      </x:c>
      <x:c r="K7" s="72" t="n">
        <x:v>12792.87</x:v>
      </x:c>
      <x:c r="L7" s="60" t="n">
        <x:v>0.14387316561844862</x:v>
      </x:c>
      <x:c r="M7" s="56" t="str">
        <x:v>&lt;80%</x:v>
      </x:c>
      <x:c r="N7" s="72" t="n">
        <x:v>0</x:v>
      </x:c>
      <x:c r="O7" s="56" t="n">
        <x:v>0</x:v>
      </x:c>
      <x:c r="P7" s="56" t="str">
        <x:v>Calculated - Control Clear</x:v>
      </x:c>
      <x:c r="Q7" s="72" t="n">
        <x:v>3218.9908</x:v>
      </x:c>
      <x:c r="R7" s="72" t="n">
        <x:v>3218.9908</x:v>
      </x:c>
      <x:c r="S7" s="60" t="n">
        <x:v>0.01712406836199944</x:v>
      </x:c>
    </x:row>
    <x:row r="8">
      <x:c r="A8" s="56" t="str">
        <x:v>EMP007</x:v>
      </x:c>
      <x:c r="B8" s="56" t="str">
        <x:v>Ava Singh</x:v>
      </x:c>
      <x:c r="C8" s="56" t="str">
        <x:v>Ontario</x:v>
      </x:c>
      <x:c r="D8" s="56" t="str">
        <x:v>AE II</x:v>
      </x:c>
      <x:c r="E8" s="80" t="b">
        <x:v>1</x:v>
      </x:c>
      <x:c r="F8" s="72" t="n">
        <x:v>316800</x:v>
      </x:c>
      <x:c r="G8" s="72" t="n">
        <x:v>38016</x:v>
      </x:c>
      <x:c r="H8" s="72" t="n">
        <x:v>317850.56000000006</x:v>
      </x:c>
      <x:c r="I8" s="72" t="n">
        <x:v>110368.5</x:v>
      </x:c>
      <x:c r="J8" s="72" t="n">
        <x:v>110368.5</x:v>
      </x:c>
      <x:c r="K8" s="72" t="n">
        <x:v>0</x:v>
      </x:c>
      <x:c r="L8" s="60" t="n">
        <x:v>2.9032118055555554</x:v>
      </x:c>
      <x:c r="M8" s="56" t="str">
        <x:v>120%+</x:v>
      </x:c>
      <x:c r="N8" s="72" t="n">
        <x:v>1000</x:v>
      </x:c>
      <x:c r="O8" s="56" t="n">
        <x:v>0</x:v>
      </x:c>
      <x:c r="P8" s="56" t="str">
        <x:v>Calculated - Control Clear</x:v>
      </x:c>
      <x:c r="Q8" s="72" t="n">
        <x:v>3903.32965</x:v>
      </x:c>
      <x:c r="R8" s="72" t="n">
        <x:v>4903.32965</x:v>
      </x:c>
      <x:c r="S8" s="60" t="n">
        <x:v>0.34723393282679754</x:v>
      </x:c>
    </x:row>
    <x:row r="9">
      <x:c r="A9" s="56" t="str">
        <x:v>EMP008</x:v>
      </x:c>
      <x:c r="B9" s="56" t="str">
        <x:v>Lucas Ferreira</x:v>
      </x:c>
      <x:c r="C9" s="56" t="str">
        <x:v>Ontario</x:v>
      </x:c>
      <x:c r="D9" s="56" t="str">
        <x:v>AE II</x:v>
      </x:c>
      <x:c r="E9" s="80" t="b">
        <x:v>1</x:v>
      </x:c>
      <x:c r="F9" s="72" t="n">
        <x:v>297600</x:v>
      </x:c>
      <x:c r="G9" s="72" t="n">
        <x:v>35712</x:v>
      </x:c>
      <x:c r="H9" s="72" t="n">
        <x:v>371602.23</x:v>
      </x:c>
      <x:c r="I9" s="72" t="n">
        <x:v>0</x:v>
      </x:c>
      <x:c r="J9" s="72" t="n">
        <x:v>0</x:v>
      </x:c>
      <x:c r="K9" s="72" t="n">
        <x:v>0</x:v>
      </x:c>
      <x:c r="L9" s="60" t="n">
        <x:v>0</x:v>
      </x:c>
      <x:c r="M9" s="56" t="str">
        <x:v>&lt;80%</x:v>
      </x:c>
      <x:c r="N9" s="72" t="n">
        <x:v>0</x:v>
      </x:c>
      <x:c r="O9" s="56" t="n">
        <x:v>0</x:v>
      </x:c>
      <x:c r="P9" s="56" t="str">
        <x:v>Calculated - Control Clear</x:v>
      </x:c>
      <x:c r="Q9" s="72" t="n">
        <x:v>6824.911499999998</x:v>
      </x:c>
      <x:c r="R9" s="72" t="n">
        <x:v>6824.911499999998</x:v>
      </x:c>
      <x:c r="S9" s="60" t="n">
        <x:v>0</x:v>
      </x:c>
    </x:row>
    <x:row r="10">
      <x:c r="A10" s="56" t="str">
        <x:v>EMP009</x:v>
      </x:c>
      <x:c r="B10" s="56" t="str">
        <x:v>Emma Brooks</x:v>
      </x:c>
      <x:c r="C10" s="56" t="str">
        <x:v>Ontario</x:v>
      </x:c>
      <x:c r="D10" s="56" t="str">
        <x:v>AE II</x:v>
      </x:c>
      <x:c r="E10" s="80" t="b">
        <x:v>1</x:v>
      </x:c>
      <x:c r="F10" s="72" t="n">
        <x:v>295200</x:v>
      </x:c>
      <x:c r="G10" s="72" t="n">
        <x:v>35424</x:v>
      </x:c>
      <x:c r="H10" s="72" t="n">
        <x:v>398279.44999999995</x:v>
      </x:c>
      <x:c r="I10" s="72" t="n">
        <x:v>37764.46000000001</x:v>
      </x:c>
      <x:c r="J10" s="72" t="n">
        <x:v>37764.46000000001</x:v>
      </x:c>
      <x:c r="K10" s="72" t="n">
        <x:v>0</x:v>
      </x:c>
      <x:c r="L10" s="60" t="n">
        <x:v>1.066069896115628</x:v>
      </x:c>
      <x:c r="M10" s="56" t="str">
        <x:v>100%-119.99%</x:v>
      </x:c>
      <x:c r="N10" s="72" t="n">
        <x:v>600</x:v>
      </x:c>
      <x:c r="O10" s="56" t="n">
        <x:v>0</x:v>
      </x:c>
      <x:c r="P10" s="56" t="str">
        <x:v>Calculated - Control Clear</x:v>
      </x:c>
      <x:c r="Q10" s="72" t="n">
        <x:v>8253.572499999998</x:v>
      </x:c>
      <x:c r="R10" s="72" t="n">
        <x:v>8853.572499999998</x:v>
      </x:c>
      <x:c r="S10" s="60" t="n">
        <x:v>0.09481900208509379</x:v>
      </x:c>
    </x:row>
    <x:row r="11">
      <x:c r="A11" s="56" t="str">
        <x:v>EMP010</x:v>
      </x:c>
      <x:c r="B11" s="56" t="str">
        <x:v>Ryan Kim</x:v>
      </x:c>
      <x:c r="C11" s="56" t="str">
        <x:v>Ontario</x:v>
      </x:c>
      <x:c r="D11" s="56" t="str">
        <x:v>Senior AE</x:v>
      </x:c>
      <x:c r="E11" s="80" t="b">
        <x:v>1</x:v>
      </x:c>
      <x:c r="F11" s="72" t="n">
        <x:v>446400</x:v>
      </x:c>
      <x:c r="G11" s="72" t="n">
        <x:v>53568</x:v>
      </x:c>
      <x:c r="H11" s="72" t="n">
        <x:v>425884.94000000006</x:v>
      </x:c>
      <x:c r="I11" s="72" t="n">
        <x:v>14588.779999999999</x:v>
      </x:c>
      <x:c r="J11" s="72" t="n">
        <x:v>14588.779999999999</x:v>
      </x:c>
      <x:c r="K11" s="72" t="n">
        <x:v>0</x:v>
      </x:c>
      <x:c r="L11" s="60" t="n">
        <x:v>0.2723413231780167</x:v>
      </x:c>
      <x:c r="M11" s="56" t="str">
        <x:v>&lt;80%</x:v>
      </x:c>
      <x:c r="N11" s="72" t="n">
        <x:v>0</x:v>
      </x:c>
      <x:c r="O11" s="56" t="n">
        <x:v>0</x:v>
      </x:c>
      <x:c r="P11" s="56" t="str">
        <x:v>Calculated - Control Clear</x:v>
      </x:c>
      <x:c r="Q11" s="72" t="n">
        <x:v>4946.4988</x:v>
      </x:c>
      <x:c r="R11" s="72" t="n">
        <x:v>4946.4988</x:v>
      </x:c>
      <x:c r="S11" s="60" t="n">
        <x:v>0.034255214565699355</x:v>
      </x:c>
    </x:row>
    <x:row r="12">
      <x:c r="A12" s="56" t="str">
        <x:v>EMP011</x:v>
      </x:c>
      <x:c r="B12" s="56" t="str">
        <x:v>Chloe Nguyen</x:v>
      </x:c>
      <x:c r="C12" s="56" t="str">
        <x:v>Ontario</x:v>
      </x:c>
      <x:c r="D12" s="56" t="str">
        <x:v>Senior AE</x:v>
      </x:c>
      <x:c r="E12" s="80" t="b">
        <x:v>1</x:v>
      </x:c>
      <x:c r="F12" s="72" t="n">
        <x:v>167083.87096774194</x:v>
      </x:c>
      <x:c r="G12" s="72" t="n">
        <x:v>20050.06451612903</x:v>
      </x:c>
      <x:c r="H12" s="72" t="n">
        <x:v>184230.94</x:v>
      </x:c>
      <x:c r="I12" s="72" t="n">
        <x:v>10061.8</x:v>
      </x:c>
      <x:c r="J12" s="72" t="n">
        <x:v>10061.8</x:v>
      </x:c>
      <x:c r="K12" s="72" t="n">
        <x:v>0</x:v>
      </x:c>
      <x:c r="L12" s="60" t="n">
        <x:v>0.5018337966895771</x:v>
      </x:c>
      <x:c r="M12" s="56" t="str">
        <x:v>&lt;80%</x:v>
      </x:c>
      <x:c r="N12" s="72" t="n">
        <x:v>0</x:v>
      </x:c>
      <x:c r="O12" s="56" t="n">
        <x:v>0</x:v>
      </x:c>
      <x:c r="P12" s="56" t="str">
        <x:v>Calculated - Control Clear</x:v>
      </x:c>
      <x:c r="Q12" s="72" t="n">
        <x:v>2615.800717741936</x:v>
      </x:c>
      <x:c r="R12" s="72" t="n">
        <x:v>2615.800717741936</x:v>
      </x:c>
      <x:c r="S12" s="60" t="n">
        <x:v>0.05461514770537457</x:v>
      </x:c>
    </x:row>
    <x:row r="13">
      <x:c r="A13" s="56" t="str">
        <x:v>EMP012</x:v>
      </x:c>
      <x:c r="B13" s="56" t="str">
        <x:v>Nathan Clarke</x:v>
      </x:c>
      <x:c r="C13" s="56" t="str">
        <x:v>Ontario</x:v>
      </x:c>
      <x:c r="D13" s="56" t="str">
        <x:v>Senior AE</x:v>
      </x:c>
      <x:c r="E13" s="80" t="b">
        <x:v>1</x:v>
      </x:c>
      <x:c r="F13" s="72" t="n">
        <x:v>448800</x:v>
      </x:c>
      <x:c r="G13" s="72" t="n">
        <x:v>53856</x:v>
      </x:c>
      <x:c r="H13" s="72" t="n">
        <x:v>602835.83</x:v>
      </x:c>
      <x:c r="I13" s="72" t="n">
        <x:v>52406.01</x:v>
      </x:c>
      <x:c r="J13" s="72" t="n">
        <x:v>52406.01</x:v>
      </x:c>
      <x:c r="K13" s="72" t="n">
        <x:v>0</x:v>
      </x:c>
      <x:c r="L13" s="60" t="n">
        <x:v>0.9730765374331551</x:v>
      </x:c>
      <x:c r="M13" s="56" t="str">
        <x:v>80%-99.99%</x:v>
      </x:c>
      <x:c r="N13" s="72" t="n">
        <x:v>250</x:v>
      </x:c>
      <x:c r="O13" s="56" t="n">
        <x:v>0</x:v>
      </x:c>
      <x:c r="P13" s="56" t="str">
        <x:v>Calculated - Control Clear</x:v>
      </x:c>
      <x:c r="Q13" s="72" t="n">
        <x:v>12414.191499999997</x:v>
      </x:c>
      <x:c r="R13" s="72" t="n">
        <x:v>12664.191499999997</x:v>
      </x:c>
      <x:c r="S13" s="60" t="n">
        <x:v>0.08693247380468411</x:v>
      </x:c>
    </x:row>
    <x:row r="14">
      <x:c r="A14" s="56" t="str">
        <x:v>EMP013</x:v>
      </x:c>
      <x:c r="B14" s="56" t="str">
        <x:v>Camille Bouchard</x:v>
      </x:c>
      <x:c r="C14" s="56" t="str">
        <x:v>Quebec</x:v>
      </x:c>
      <x:c r="D14" s="56" t="str">
        <x:v>AE I</x:v>
      </x:c>
      <x:c r="E14" s="80" t="b">
        <x:v>1</x:v>
      </x:c>
      <x:c r="F14" s="72" t="n">
        <x:v>240000</x:v>
      </x:c>
      <x:c r="G14" s="72" t="n">
        <x:v>28800</x:v>
      </x:c>
      <x:c r="H14" s="72" t="n">
        <x:v>235400.44</x:v>
      </x:c>
      <x:c r="I14" s="72" t="n">
        <x:v>25791.22</x:v>
      </x:c>
      <x:c r="J14" s="72" t="n">
        <x:v>25791.22</x:v>
      </x:c>
      <x:c r="K14" s="72" t="n">
        <x:v>0</x:v>
      </x:c>
      <x:c r="L14" s="60" t="n">
        <x:v>0.8955284722222223</x:v>
      </x:c>
      <x:c r="M14" s="56" t="str">
        <x:v>80%-99.99%</x:v>
      </x:c>
      <x:c r="N14" s="72" t="n">
        <x:v>250</x:v>
      </x:c>
      <x:c r="O14" s="56" t="n">
        <x:v>0</x:v>
      </x:c>
      <x:c r="P14" s="56" t="str">
        <x:v>Calculated - Control Clear</x:v>
      </x:c>
      <x:c r="Q14" s="72" t="n">
        <x:v>2796.6300499999998</x:v>
      </x:c>
      <x:c r="R14" s="72" t="n">
        <x:v>3046.6300499999998</x:v>
      </x:c>
      <x:c r="S14" s="60" t="n">
        <x:v>0.10956317668735029</x:v>
      </x:c>
    </x:row>
    <x:row r="15">
      <x:c r="A15" s="56" t="str">
        <x:v>EMP014</x:v>
      </x:c>
      <x:c r="B15" s="56" t="str">
        <x:v>Félix Roy</x:v>
      </x:c>
      <x:c r="C15" s="56" t="str">
        <x:v>Quebec</x:v>
      </x:c>
      <x:c r="D15" s="56" t="str">
        <x:v>AE I</x:v>
      </x:c>
      <x:c r="E15" s="80" t="b">
        <x:v>1</x:v>
      </x:c>
      <x:c r="F15" s="72" t="n">
        <x:v>247200</x:v>
      </x:c>
      <x:c r="G15" s="72" t="n">
        <x:v>29664</x:v>
      </x:c>
      <x:c r="H15" s="72" t="n">
        <x:v>266147.85</x:v>
      </x:c>
      <x:c r="I15" s="72" t="n">
        <x:v>32429.96</x:v>
      </x:c>
      <x:c r="J15" s="72" t="n">
        <x:v>32429.96</x:v>
      </x:c>
      <x:c r="K15" s="72" t="n">
        <x:v>0</x:v>
      </x:c>
      <x:c r="L15" s="60" t="n">
        <x:v>1.0932429881337649</x:v>
      </x:c>
      <x:c r="M15" s="56" t="str">
        <x:v>100%-119.99%</x:v>
      </x:c>
      <x:c r="N15" s="72" t="n">
        <x:v>600</x:v>
      </x:c>
      <x:c r="O15" s="56" t="n">
        <x:v>0</x:v>
      </x:c>
      <x:c r="P15" s="56" t="str">
        <x:v>Calculated - Control Clear</x:v>
      </x:c>
      <x:c r="Q15" s="72" t="n">
        <x:v>3870.5242499999995</x:v>
      </x:c>
      <x:c r="R15" s="72" t="n">
        <x:v>4470.5242499999995</x:v>
      </x:c>
      <x:c r="S15" s="60" t="n">
        <x:v>0.12184941565374284</x:v>
      </x:c>
    </x:row>
    <x:row r="16">
      <x:c r="A16" s="56" t="str">
        <x:v>EMP015</x:v>
      </x:c>
      <x:c r="B16" s="56" t="str">
        <x:v>Léa Gauthier</x:v>
      </x:c>
      <x:c r="C16" s="56" t="str">
        <x:v>Quebec</x:v>
      </x:c>
      <x:c r="D16" s="56" t="str">
        <x:v>AE I</x:v>
      </x:c>
      <x:c r="E16" s="80" t="b">
        <x:v>1</x:v>
      </x:c>
      <x:c r="F16" s="72" t="n">
        <x:v>223200</x:v>
      </x:c>
      <x:c r="G16" s="72" t="n">
        <x:v>26784</x:v>
      </x:c>
      <x:c r="H16" s="72" t="n">
        <x:v>270249.04000000004</x:v>
      </x:c>
      <x:c r="I16" s="72" t="n">
        <x:v>12728.39</x:v>
      </x:c>
      <x:c r="J16" s="72" t="n">
        <x:v>12728.39</x:v>
      </x:c>
      <x:c r="K16" s="72" t="n">
        <x:v>0</x:v>
      </x:c>
      <x:c r="L16" s="60" t="n">
        <x:v>0.47522364097968933</x:v>
      </x:c>
      <x:c r="M16" s="56" t="str">
        <x:v>&lt;80%</x:v>
      </x:c>
      <x:c r="N16" s="72" t="n">
        <x:v>0</x:v>
      </x:c>
      <x:c r="O16" s="56" t="n">
        <x:v>0</x:v>
      </x:c>
      <x:c r="P16" s="56" t="str">
        <x:v>Calculated - Control Clear</x:v>
      </x:c>
      <x:c r="Q16" s="72" t="n">
        <x:v>4745.357599999999</x:v>
      </x:c>
      <x:c r="R16" s="72" t="n">
        <x:v>4745.357599999999</x:v>
      </x:c>
      <x:c r="S16" s="60" t="n">
        <x:v>0.0470987427004366</x:v>
      </x:c>
    </x:row>
    <x:row r="17">
      <x:c r="A17" s="56" t="str">
        <x:v>EMP016</x:v>
      </x:c>
      <x:c r="B17" s="56" t="str">
        <x:v>Thomas Nguyen</x:v>
      </x:c>
      <x:c r="C17" s="56" t="str">
        <x:v>Quebec</x:v>
      </x:c>
      <x:c r="D17" s="56" t="str">
        <x:v>AE I</x:v>
      </x:c>
      <x:c r="E17" s="80" t="b">
        <x:v>1</x:v>
      </x:c>
      <x:c r="F17" s="72" t="n">
        <x:v>252000</x:v>
      </x:c>
      <x:c r="G17" s="72" t="n">
        <x:v>30240</x:v>
      </x:c>
      <x:c r="H17" s="72" t="n">
        <x:v>242455.1</x:v>
      </x:c>
      <x:c r="I17" s="72" t="n">
        <x:v>14750.4</x:v>
      </x:c>
      <x:c r="J17" s="72" t="n">
        <x:v>14750.4</x:v>
      </x:c>
      <x:c r="K17" s="72" t="n">
        <x:v>0</x:v>
      </x:c>
      <x:c r="L17" s="60" t="n">
        <x:v>0.48777777777777775</x:v>
      </x:c>
      <x:c r="M17" s="56" t="str">
        <x:v>&lt;80%</x:v>
      </x:c>
      <x:c r="N17" s="72" t="n">
        <x:v>0</x:v>
      </x:c>
      <x:c r="O17" s="56" t="n">
        <x:v>0</x:v>
      </x:c>
      <x:c r="P17" s="56" t="str">
        <x:v>Calculated - Control Clear</x:v>
      </x:c>
      <x:c r="Q17" s="72" t="n">
        <x:v>2833.1020000000003</x:v>
      </x:c>
      <x:c r="R17" s="72" t="n">
        <x:v>2833.1020000000003</x:v>
      </x:c>
      <x:c r="S17" s="60" t="n">
        <x:v>0.06083765612684575</x:v>
      </x:c>
    </x:row>
    <x:row r="18">
      <x:c r="A18" s="56" t="str">
        <x:v>EMP017</x:v>
      </x:c>
      <x:c r="B18" s="56" t="str">
        <x:v>Sarah Cohen</x:v>
      </x:c>
      <x:c r="C18" s="56" t="str">
        <x:v>Quebec</x:v>
      </x:c>
      <x:c r="D18" s="56" t="str">
        <x:v>AE II</x:v>
      </x:c>
      <x:c r="E18" s="80" t="b">
        <x:v>1</x:v>
      </x:c>
      <x:c r="F18" s="72" t="n">
        <x:v>297600</x:v>
      </x:c>
      <x:c r="G18" s="72" t="n">
        <x:v>35712</x:v>
      </x:c>
      <x:c r="H18" s="72" t="n">
        <x:v>345607.81</x:v>
      </x:c>
      <x:c r="I18" s="72" t="n">
        <x:v>23161.820000000003</x:v>
      </x:c>
      <x:c r="J18" s="72" t="n">
        <x:v>23161.820000000003</x:v>
      </x:c>
      <x:c r="K18" s="72" t="n">
        <x:v>0</x:v>
      </x:c>
      <x:c r="L18" s="60" t="n">
        <x:v>0.6485724686379929</x:v>
      </x:c>
      <x:c r="M18" s="56" t="str">
        <x:v>&lt;80%</x:v>
      </x:c>
      <x:c r="N18" s="72" t="n">
        <x:v>0</x:v>
      </x:c>
      <x:c r="O18" s="56" t="n">
        <x:v>0</x:v>
      </x:c>
      <x:c r="P18" s="56" t="str">
        <x:v>Calculated - Control Clear</x:v>
      </x:c>
      <x:c r="Q18" s="72" t="n">
        <x:v>5632.390249999999</x:v>
      </x:c>
      <x:c r="R18" s="72" t="n">
        <x:v>5632.390249999999</x:v>
      </x:c>
      <x:c r="S18" s="60" t="n">
        <x:v>0.06701764060250838</x:v>
      </x:c>
    </x:row>
    <x:row r="19">
      <x:c r="A19" s="56" t="str">
        <x:v>EMP018</x:v>
      </x:c>
      <x:c r="B19" s="56" t="str">
        <x:v>Olivier Pelletier</x:v>
      </x:c>
      <x:c r="C19" s="56" t="str">
        <x:v>Quebec</x:v>
      </x:c>
      <x:c r="D19" s="56" t="str">
        <x:v>AE II</x:v>
      </x:c>
      <x:c r="E19" s="80" t="b">
        <x:v>1</x:v>
      </x:c>
      <x:c r="F19" s="72" t="n">
        <x:v>324000</x:v>
      </x:c>
      <x:c r="G19" s="72" t="n">
        <x:v>38880</x:v>
      </x:c>
      <x:c r="H19" s="72" t="n">
        <x:v>374103.89</x:v>
      </x:c>
      <x:c r="I19" s="72" t="n">
        <x:v>54619.2</x:v>
      </x:c>
      <x:c r="J19" s="72" t="n">
        <x:v>54619.2</x:v>
      </x:c>
      <x:c r="K19" s="72" t="n">
        <x:v>0</x:v>
      </x:c>
      <x:c r="L19" s="60" t="n">
        <x:v>1.4048148148148147</x:v>
      </x:c>
      <x:c r="M19" s="56" t="str">
        <x:v>120%+</x:v>
      </x:c>
      <x:c r="N19" s="72" t="n">
        <x:v>1000</x:v>
      </x:c>
      <x:c r="O19" s="56" t="n">
        <x:v>0</x:v>
      </x:c>
      <x:c r="P19" s="56" t="str">
        <x:v>Calculated - Control Clear</x:v>
      </x:c>
      <x:c r="Q19" s="72" t="n">
        <x:v>5907.194499999999</x:v>
      </x:c>
      <x:c r="R19" s="72" t="n">
        <x:v>6907.194499999999</x:v>
      </x:c>
      <x:c r="S19" s="60" t="n">
        <x:v>0.14600008569811984</x:v>
      </x:c>
    </x:row>
    <x:row r="20">
      <x:c r="A20" s="56" t="str">
        <x:v>EMP019</x:v>
      </x:c>
      <x:c r="B20" s="56" t="str">
        <x:v>Nadia Benali</x:v>
      </x:c>
      <x:c r="C20" s="56" t="str">
        <x:v>Quebec</x:v>
      </x:c>
      <x:c r="D20" s="56" t="str">
        <x:v>AE II</x:v>
      </x:c>
      <x:c r="E20" s="80" t="b">
        <x:v>1</x:v>
      </x:c>
      <x:c r="F20" s="72" t="n">
        <x:v>326400</x:v>
      </x:c>
      <x:c r="G20" s="72" t="n">
        <x:v>39168</x:v>
      </x:c>
      <x:c r="H20" s="72" t="n">
        <x:v>325229.37</x:v>
      </x:c>
      <x:c r="I20" s="72" t="n">
        <x:v>109155.93999999999</x:v>
      </x:c>
      <x:c r="J20" s="72" t="n">
        <x:v>109155.93999999999</x:v>
      </x:c>
      <x:c r="K20" s="72" t="n">
        <x:v>0</x:v>
      </x:c>
      <x:c r="L20" s="60" t="n">
        <x:v>2.786865298202614</x:v>
      </x:c>
      <x:c r="M20" s="56" t="str">
        <x:v>120%+</x:v>
      </x:c>
      <x:c r="N20" s="72" t="n">
        <x:v>1000</x:v>
      </x:c>
      <x:c r="O20" s="56" t="n">
        <x:v>0</x:v>
      </x:c>
      <x:c r="P20" s="56" t="str">
        <x:v>Calculated - Control Clear</x:v>
      </x:c>
      <x:c r="Q20" s="72" t="n">
        <x:v>4047.5330999999983</x:v>
      </x:c>
      <x:c r="R20" s="72" t="n">
        <x:v>5047.533099999999</x:v>
      </x:c>
      <x:c r="S20" s="60" t="n">
        <x:v>0.3356275603276543</x:v>
      </x:c>
    </x:row>
    <x:row r="21">
      <x:c r="A21" s="56" t="str">
        <x:v>EMP020</x:v>
      </x:c>
      <x:c r="B21" s="56" t="str">
        <x:v>Julien Caron</x:v>
      </x:c>
      <x:c r="C21" s="56" t="str">
        <x:v>Quebec</x:v>
      </x:c>
      <x:c r="D21" s="56" t="str">
        <x:v>AE II</x:v>
      </x:c>
      <x:c r="E21" s="80" t="b">
        <x:v>1</x:v>
      </x:c>
      <x:c r="F21" s="72" t="n">
        <x:v>307200</x:v>
      </x:c>
      <x:c r="G21" s="72" t="n">
        <x:v>36864</x:v>
      </x:c>
      <x:c r="H21" s="72" t="n">
        <x:v>322810.72</x:v>
      </x:c>
      <x:c r="I21" s="72" t="n">
        <x:v>9109.470000000001</x:v>
      </x:c>
      <x:c r="J21" s="72" t="n">
        <x:v>9109.470000000001</x:v>
      </x:c>
      <x:c r="K21" s="72" t="n">
        <x:v>0</x:v>
      </x:c>
      <x:c r="L21" s="60" t="n">
        <x:v>0.24711018880208335</x:v>
      </x:c>
      <x:c r="M21" s="56" t="str">
        <x:v>&lt;80%</x:v>
      </x:c>
      <x:c r="N21" s="72" t="n">
        <x:v>0</x:v>
      </x:c>
      <x:c r="O21" s="56" t="n">
        <x:v>0</x:v>
      </x:c>
      <x:c r="P21" s="56" t="str">
        <x:v>Calculated - Control Clear</x:v>
      </x:c>
      <x:c r="Q21" s="72" t="n">
        <x:v>4406.712499999999</x:v>
      </x:c>
      <x:c r="R21" s="72" t="n">
        <x:v>4406.712499999999</x:v>
      </x:c>
      <x:c r="S21" s="60" t="n">
        <x:v>0.028219230142047334</x:v>
      </x:c>
    </x:row>
    <x:row r="22">
      <x:c r="A22" s="56" t="str">
        <x:v>EMP021</x:v>
      </x:c>
      <x:c r="B22" s="56" t="str">
        <x:v>Émilie Fortin</x:v>
      </x:c>
      <x:c r="C22" s="56" t="str">
        <x:v>Quebec</x:v>
      </x:c>
      <x:c r="D22" s="56" t="str">
        <x:v>AE II</x:v>
      </x:c>
      <x:c r="E22" s="80" t="b">
        <x:v>1</x:v>
      </x:c>
      <x:c r="F22" s="72" t="n">
        <x:v>312000</x:v>
      </x:c>
      <x:c r="G22" s="72" t="n">
        <x:v>37440</x:v>
      </x:c>
      <x:c r="H22" s="72" t="n">
        <x:v>337303.01</x:v>
      </x:c>
      <x:c r="I22" s="72" t="n">
        <x:v>137190.1</x:v>
      </x:c>
      <x:c r="J22" s="72" t="n">
        <x:v>137190.1</x:v>
      </x:c>
      <x:c r="K22" s="72" t="n">
        <x:v>0</x:v>
      </x:c>
      <x:c r="L22" s="60" t="n">
        <x:v>3.6642654914529915</x:v>
      </x:c>
      <x:c r="M22" s="56" t="str">
        <x:v>120%+</x:v>
      </x:c>
      <x:c r="N22" s="72" t="n">
        <x:v>1000</x:v>
      </x:c>
      <x:c r="O22" s="56" t="n">
        <x:v>0</x:v>
      </x:c>
      <x:c r="P22" s="56" t="str">
        <x:v>Calculated - Control Clear</x:v>
      </x:c>
      <x:c r="Q22" s="72" t="n">
        <x:v>4640.326449999999</x:v>
      </x:c>
      <x:c r="R22" s="72" t="n">
        <x:v>5640.326449999999</x:v>
      </x:c>
      <x:c r="S22" s="60" t="n">
        <x:v>0.40672658094572</x:v>
      </x:c>
    </x:row>
    <x:row r="23">
      <x:c r="A23" s="56" t="str">
        <x:v>EMP022</x:v>
      </x:c>
      <x:c r="B23" s="56" t="str">
        <x:v>Adam Haddad</x:v>
      </x:c>
      <x:c r="C23" s="56" t="str">
        <x:v>Quebec</x:v>
      </x:c>
      <x:c r="D23" s="56" t="str">
        <x:v>Senior AE</x:v>
      </x:c>
      <x:c r="E23" s="80" t="b">
        <x:v>1</x:v>
      </x:c>
      <x:c r="F23" s="72" t="n">
        <x:v>448800</x:v>
      </x:c>
      <x:c r="G23" s="72" t="n">
        <x:v>53856</x:v>
      </x:c>
      <x:c r="H23" s="72" t="n">
        <x:v>422291.02</x:v>
      </x:c>
      <x:c r="I23" s="72" t="n">
        <x:v>36655.1</x:v>
      </x:c>
      <x:c r="J23" s="72" t="n">
        <x:v>36655.1</x:v>
      </x:c>
      <x:c r="K23" s="72" t="n">
        <x:v>0</x:v>
      </x:c>
      <x:c r="L23" s="60" t="n">
        <x:v>0.6806131164587047</x:v>
      </x:c>
      <x:c r="M23" s="56" t="str">
        <x:v>&lt;80%</x:v>
      </x:c>
      <x:c r="N23" s="72" t="n">
        <x:v>0</x:v>
      </x:c>
      <x:c r="O23" s="56" t="n">
        <x:v>0</x:v>
      </x:c>
      <x:c r="P23" s="56" t="str">
        <x:v>Calculated - Control Clear</x:v>
      </x:c>
      <x:c r="Q23" s="72" t="n">
        <x:v>4895.713100000001</x:v>
      </x:c>
      <x:c r="R23" s="72" t="n">
        <x:v>4895.713100000001</x:v>
      </x:c>
      <x:c r="S23" s="60" t="n">
        <x:v>0.08680056705918113</x:v>
      </x:c>
    </x:row>
    <x:row r="24">
      <x:c r="A24" s="56" t="str">
        <x:v>EMP023</x:v>
      </x:c>
      <x:c r="B24" s="56" t="str">
        <x:v>Maude Lavoie</x:v>
      </x:c>
      <x:c r="C24" s="56" t="str">
        <x:v>Quebec</x:v>
      </x:c>
      <x:c r="D24" s="56" t="str">
        <x:v>Senior AE</x:v>
      </x:c>
      <x:c r="E24" s="80" t="b">
        <x:v>1</x:v>
      </x:c>
      <x:c r="F24" s="72" t="n">
        <x:v>453600</x:v>
      </x:c>
      <x:c r="G24" s="72" t="n">
        <x:v>54432</x:v>
      </x:c>
      <x:c r="H24" s="72" t="n">
        <x:v>403899.99</x:v>
      </x:c>
      <x:c r="I24" s="72" t="n">
        <x:v>4569.99</x:v>
      </x:c>
      <x:c r="J24" s="72" t="n">
        <x:v>4569.99</x:v>
      </x:c>
      <x:c r="K24" s="72" t="n">
        <x:v>0</x:v>
      </x:c>
      <x:c r="L24" s="60" t="n">
        <x:v>0.08395778218694885</x:v>
      </x:c>
      <x:c r="M24" s="56" t="str">
        <x:v>&lt;80%</x:v>
      </x:c>
      <x:c r="N24" s="72" t="n">
        <x:v>0</x:v>
      </x:c>
      <x:c r="O24" s="56" t="n">
        <x:v>0</x:v>
      </x:c>
      <x:c r="P24" s="56" t="str">
        <x:v>Calculated - Control Clear</x:v>
      </x:c>
      <x:c r="Q24" s="72" t="n">
        <x:v>4449.199800000001</x:v>
      </x:c>
      <x:c r="R24" s="72" t="n">
        <x:v>4449.199800000001</x:v>
      </x:c>
      <x:c r="S24" s="60" t="n">
        <x:v>0.011314657373475052</x:v>
      </x:c>
    </x:row>
    <x:row r="25">
      <x:c r="A25" s="56" t="str">
        <x:v>EMP024</x:v>
      </x:c>
      <x:c r="B25" s="56" t="str">
        <x:v>Xavier Dubois</x:v>
      </x:c>
      <x:c r="C25" s="56" t="str">
        <x:v>Quebec</x:v>
      </x:c>
      <x:c r="D25" s="56" t="str">
        <x:v>Senior AE</x:v>
      </x:c>
      <x:c r="E25" s="80" t="b">
        <x:v>1</x:v>
      </x:c>
      <x:c r="F25" s="72" t="n">
        <x:v>403200</x:v>
      </x:c>
      <x:c r="G25" s="72" t="n">
        <x:v>48384</x:v>
      </x:c>
      <x:c r="H25" s="72" t="n">
        <x:v>385257.64</x:v>
      </x:c>
      <x:c r="I25" s="72" t="n">
        <x:v>56456.119999999995</x:v>
      </x:c>
      <x:c r="J25" s="72" t="n">
        <x:v>56456.119999999995</x:v>
      </x:c>
      <x:c r="K25" s="72" t="n">
        <x:v>0</x:v>
      </x:c>
      <x:c r="L25" s="60" t="n">
        <x:v>1.1668344907407406</x:v>
      </x:c>
      <x:c r="M25" s="56" t="str">
        <x:v>100%-119.99%</x:v>
      </x:c>
      <x:c r="N25" s="72" t="n">
        <x:v>600</x:v>
      </x:c>
      <x:c r="O25" s="56" t="n">
        <x:v>0</x:v>
      </x:c>
      <x:c r="P25" s="56" t="str">
        <x:v>Calculated - Control Clear</x:v>
      </x:c>
      <x:c r="Q25" s="72" t="n">
        <x:v>4479.5527999999995</x:v>
      </x:c>
      <x:c r="R25" s="72" t="n">
        <x:v>5079.5527999999995</x:v>
      </x:c>
      <x:c r="S25" s="60" t="n">
        <x:v>0.14654120811205715</x:v>
      </x:c>
    </x:row>
    <x:row r="26">
      <x:c r="A26" s="56" t="str">
        <x:v>EMP025</x:v>
      </x:c>
      <x:c r="B26" s="56" t="str">
        <x:v>Arjun Mehta</x:v>
      </x:c>
      <x:c r="C26" s="56" t="str">
        <x:v>West</x:v>
      </x:c>
      <x:c r="D26" s="56" t="str">
        <x:v>AE I</x:v>
      </x:c>
      <x:c r="E26" s="80" t="b">
        <x:v>1</x:v>
      </x:c>
      <x:c r="F26" s="72" t="n">
        <x:v>252000</x:v>
      </x:c>
      <x:c r="G26" s="72" t="n">
        <x:v>30240</x:v>
      </x:c>
      <x:c r="H26" s="72" t="n">
        <x:v>267873.18999999994</x:v>
      </x:c>
      <x:c r="I26" s="72" t="n">
        <x:v>22195.15</x:v>
      </x:c>
      <x:c r="J26" s="72" t="n">
        <x:v>22195.15</x:v>
      </x:c>
      <x:c r="K26" s="72" t="n">
        <x:v>0</x:v>
      </x:c>
      <x:c r="L26" s="60" t="n">
        <x:v>0.7339666005291006</x:v>
      </x:c>
      <x:c r="M26" s="56" t="str">
        <x:v>&lt;80%</x:v>
      </x:c>
      <x:c r="N26" s="72" t="n">
        <x:v>0</x:v>
      </x:c>
      <x:c r="O26" s="56" t="n">
        <x:v>0</x:v>
      </x:c>
      <x:c r="P26" s="56" t="str">
        <x:v>Calculated - Control Clear</x:v>
      </x:c>
      <x:c r="Q26" s="72" t="n">
        <x:v>3691.643149999999</x:v>
      </x:c>
      <x:c r="R26" s="72" t="n">
        <x:v>3691.643149999999</x:v>
      </x:c>
      <x:c r="S26" s="60" t="n">
        <x:v>0.08285692942992916</x:v>
      </x:c>
    </x:row>
    <x:row r="27">
      <x:c r="A27" s="56" t="str">
        <x:v>EMP026</x:v>
      </x:c>
      <x:c r="B27" s="56" t="str">
        <x:v>Grace Park</x:v>
      </x:c>
      <x:c r="C27" s="56" t="str">
        <x:v>West</x:v>
      </x:c>
      <x:c r="D27" s="56" t="str">
        <x:v>AE I</x:v>
      </x:c>
      <x:c r="E27" s="80" t="b">
        <x:v>1</x:v>
      </x:c>
      <x:c r="F27" s="72" t="n">
        <x:v>237600</x:v>
      </x:c>
      <x:c r="G27" s="72" t="n">
        <x:v>28512</x:v>
      </x:c>
      <x:c r="H27" s="72" t="n">
        <x:v>190414.44</x:v>
      </x:c>
      <x:c r="I27" s="72" t="n">
        <x:v>50931.9</x:v>
      </x:c>
      <x:c r="J27" s="72" t="n">
        <x:v>50931.9</x:v>
      </x:c>
      <x:c r="K27" s="72" t="n">
        <x:v>0</x:v>
      </x:c>
      <x:c r="L27" s="60" t="n">
        <x:v>1.7863320707070707</x:v>
      </x:c>
      <x:c r="M27" s="56" t="str">
        <x:v>120%+</x:v>
      </x:c>
      <x:c r="N27" s="72" t="n">
        <x:v>1000</x:v>
      </x:c>
      <x:c r="O27" s="56" t="n">
        <x:v>0</x:v>
      </x:c>
      <x:c r="P27" s="56" t="str">
        <x:v>Calculated - Control Clear</x:v>
      </x:c>
      <x:c r="Q27" s="72" t="n">
        <x:v>2010.2072</x:v>
      </x:c>
      <x:c r="R27" s="72" t="n">
        <x:v>3010.2072</x:v>
      </x:c>
      <x:c r="S27" s="60" t="n">
        <x:v>0.2674791890783073</x:v>
      </x:c>
    </x:row>
    <x:row r="28">
      <x:c r="A28" s="56" t="str">
        <x:v>EMP027</x:v>
      </x:c>
      <x:c r="B28" s="56" t="str">
        <x:v>Dylan Campbell</x:v>
      </x:c>
      <x:c r="C28" s="56" t="str">
        <x:v>West</x:v>
      </x:c>
      <x:c r="D28" s="56" t="str">
        <x:v>AE I</x:v>
      </x:c>
      <x:c r="E28" s="80" t="b">
        <x:v>1</x:v>
      </x:c>
      <x:c r="F28" s="72" t="n">
        <x:v>256800</x:v>
      </x:c>
      <x:c r="G28" s="72" t="n">
        <x:v>30816</x:v>
      </x:c>
      <x:c r="H28" s="72" t="n">
        <x:v>229071.87999999995</x:v>
      </x:c>
      <x:c r="I28" s="72" t="n">
        <x:v>39771.229999999996</x:v>
      </x:c>
      <x:c r="J28" s="72" t="n">
        <x:v>39771.229999999996</x:v>
      </x:c>
      <x:c r="K28" s="72" t="n">
        <x:v>0</x:v>
      </x:c>
      <x:c r="L28" s="60" t="n">
        <x:v>1.2906032580477673</x:v>
      </x:c>
      <x:c r="M28" s="56" t="str">
        <x:v>120%+</x:v>
      </x:c>
      <x:c r="N28" s="72" t="n">
        <x:v>1000</x:v>
      </x:c>
      <x:c r="O28" s="56" t="n">
        <x:v>0</x:v>
      </x:c>
      <x:c r="P28" s="56" t="str">
        <x:v>Calculated - Control Clear</x:v>
      </x:c>
      <x:c r="Q28" s="72" t="n">
        <x:v>2527.0375999999997</x:v>
      </x:c>
      <x:c r="R28" s="72" t="n">
        <x:v>3527.0375999999997</x:v>
      </x:c>
      <x:c r="S28" s="60" t="n">
        <x:v>0.17361899679698795</x:v>
      </x:c>
    </x:row>
    <x:row r="29">
      <x:c r="A29" s="56" t="str">
        <x:v>EMP028</x:v>
      </x:c>
      <x:c r="B29" s="56" t="str">
        <x:v>Hannah Li</x:v>
      </x:c>
      <x:c r="C29" s="56" t="str">
        <x:v>West</x:v>
      </x:c>
      <x:c r="D29" s="56" t="str">
        <x:v>AE I</x:v>
      </x:c>
      <x:c r="E29" s="80" t="b">
        <x:v>1</x:v>
      </x:c>
      <x:c r="F29" s="72" t="n">
        <x:v>228000</x:v>
      </x:c>
      <x:c r="G29" s="72" t="n">
        <x:v>27360</x:v>
      </x:c>
      <x:c r="H29" s="72" t="n">
        <x:v>275647.72</x:v>
      </x:c>
      <x:c r="I29" s="72" t="n">
        <x:v>23712.4</x:v>
      </x:c>
      <x:c r="J29" s="72" t="n">
        <x:v>23712.4</x:v>
      </x:c>
      <x:c r="K29" s="72" t="n">
        <x:v>0</x:v>
      </x:c>
      <x:c r="L29" s="60" t="n">
        <x:v>0.8666812865497077</x:v>
      </x:c>
      <x:c r="M29" s="56" t="str">
        <x:v>80%-99.99%</x:v>
      </x:c>
      <x:c r="N29" s="72" t="n">
        <x:v>250</x:v>
      </x:c>
      <x:c r="O29" s="56" t="n">
        <x:v>0</x:v>
      </x:c>
      <x:c r="P29" s="56" t="str">
        <x:v>Calculated - Control Clear</x:v>
      </x:c>
      <x:c r="Q29" s="72" t="n">
        <x:v>4776.3859999999995</x:v>
      </x:c>
      <x:c r="R29" s="72" t="n">
        <x:v>5026.3859999999995</x:v>
      </x:c>
      <x:c r="S29" s="60" t="n">
        <x:v>0.0860242921653769</x:v>
      </x:c>
    </x:row>
    <x:row r="30">
      <x:c r="A30" s="56" t="str">
        <x:v>EMP029</x:v>
      </x:c>
      <x:c r="B30" s="56" t="str">
        <x:v>Maya Chen</x:v>
      </x:c>
      <x:c r="C30" s="56" t="str">
        <x:v>West</x:v>
      </x:c>
      <x:c r="D30" s="56" t="str">
        <x:v>AE II</x:v>
      </x:c>
      <x:c r="E30" s="80" t="b">
        <x:v>1</x:v>
      </x:c>
      <x:c r="F30" s="72" t="n">
        <x:v>292800</x:v>
      </x:c>
      <x:c r="G30" s="72" t="n">
        <x:v>35136</x:v>
      </x:c>
      <x:c r="H30" s="72" t="n">
        <x:v>342235.62</x:v>
      </x:c>
      <x:c r="I30" s="72" t="n">
        <x:v>31912.449999999997</x:v>
      </x:c>
      <x:c r="J30" s="72" t="n">
        <x:v>31912.449999999997</x:v>
      </x:c>
      <x:c r="K30" s="72" t="n">
        <x:v>0</x:v>
      </x:c>
      <x:c r="L30" s="60" t="n">
        <x:v>0.9082550660291439</x:v>
      </x:c>
      <x:c r="M30" s="56" t="str">
        <x:v>80%-99.99%</x:v>
      </x:c>
      <x:c r="N30" s="72" t="n">
        <x:v>250</x:v>
      </x:c>
      <x:c r="O30" s="56" t="n">
        <x:v>0</x:v>
      </x:c>
      <x:c r="P30" s="56" t="str">
        <x:v>Calculated - Control Clear</x:v>
      </x:c>
      <x:c r="Q30" s="72" t="n">
        <x:v>5623.4365499999985</x:v>
      </x:c>
      <x:c r="R30" s="72" t="n">
        <x:v>5873.4365499999985</x:v>
      </x:c>
      <x:c r="S30" s="60" t="n">
        <x:v>0.09324701502432739</x:v>
      </x:c>
    </x:row>
    <x:row r="31">
      <x:c r="A31" s="56" t="str">
        <x:v>EMP030</x:v>
      </x:c>
      <x:c r="B31" s="56" t="str">
        <x:v>Brooke Wilson</x:v>
      </x:c>
      <x:c r="C31" s="56" t="str">
        <x:v>West</x:v>
      </x:c>
      <x:c r="D31" s="56" t="str">
        <x:v>AE II</x:v>
      </x:c>
      <x:c r="E31" s="80" t="b">
        <x:v>1</x:v>
      </x:c>
      <x:c r="F31" s="72" t="n">
        <x:v>343200</x:v>
      </x:c>
      <x:c r="G31" s="72" t="n">
        <x:v>41184</x:v>
      </x:c>
      <x:c r="H31" s="72" t="n">
        <x:v>354943.31</x:v>
      </x:c>
      <x:c r="I31" s="72" t="n">
        <x:v>51321.6</x:v>
      </x:c>
      <x:c r="J31" s="72" t="n">
        <x:v>51321.6</x:v>
      </x:c>
      <x:c r="K31" s="72" t="n">
        <x:v>0</x:v>
      </x:c>
      <x:c r="L31" s="60" t="n">
        <x:v>1.2461538461538462</x:v>
      </x:c>
      <x:c r="M31" s="56" t="str">
        <x:v>120%+</x:v>
      </x:c>
      <x:c r="N31" s="72" t="n">
        <x:v>1000</x:v>
      </x:c>
      <x:c r="O31" s="56" t="n">
        <x:v>0</x:v>
      </x:c>
      <x:c r="P31" s="56" t="str">
        <x:v>Calculated - Control Clear</x:v>
      </x:c>
      <x:c r="Q31" s="72" t="n">
        <x:v>4538.799849999999</x:v>
      </x:c>
      <x:c r="R31" s="72" t="n">
        <x:v>5538.799849999999</x:v>
      </x:c>
      <x:c r="S31" s="60" t="n">
        <x:v>0.1445909770774381</x:v>
      </x:c>
    </x:row>
    <x:row r="32">
      <x:c r="A32" s="56" t="str">
        <x:v>EMP031</x:v>
      </x:c>
      <x:c r="B32" s="56" t="str">
        <x:v>Kevin Tran</x:v>
      </x:c>
      <x:c r="C32" s="56" t="str">
        <x:v>West</x:v>
      </x:c>
      <x:c r="D32" s="56" t="str">
        <x:v>AE II</x:v>
      </x:c>
      <x:c r="E32" s="80" t="b">
        <x:v>1</x:v>
      </x:c>
      <x:c r="F32" s="72" t="n">
        <x:v>235800.00000000003</x:v>
      </x:c>
      <x:c r="G32" s="72" t="n">
        <x:v>28296.000000000004</x:v>
      </x:c>
      <x:c r="H32" s="72" t="n">
        <x:v>242482.66000000003</x:v>
      </x:c>
      <x:c r="I32" s="72" t="n">
        <x:v>13765.150000000001</x:v>
      </x:c>
      <x:c r="J32" s="72" t="n">
        <x:v>13765.150000000001</x:v>
      </x:c>
      <x:c r="K32" s="72" t="n">
        <x:v>0</x:v>
      </x:c>
      <x:c r="L32" s="60" t="n">
        <x:v>0.4864698190556969</x:v>
      </x:c>
      <x:c r="M32" s="56" t="str">
        <x:v>&lt;80%</x:v>
      </x:c>
      <x:c r="N32" s="72" t="n">
        <x:v>0</x:v>
      </x:c>
      <x:c r="O32" s="56" t="n">
        <x:v>0</x:v>
      </x:c>
      <x:c r="P32" s="56" t="str">
        <x:v>Calculated - Control Clear</x:v>
      </x:c>
      <x:c r="Q32" s="72" t="n">
        <x:v>3097.25555</x:v>
      </x:c>
      <x:c r="R32" s="72" t="n">
        <x:v>3097.25555</x:v>
      </x:c>
      <x:c r="S32" s="60" t="n">
        <x:v>0.056767564328104946</x:v>
      </x:c>
    </x:row>
    <x:row r="33">
      <x:c r="A33" s="56" t="str">
        <x:v>EMP032</x:v>
      </x:c>
      <x:c r="B33" s="56" t="str">
        <x:v>Zoe Anderson</x:v>
      </x:c>
      <x:c r="C33" s="56" t="str">
        <x:v>West</x:v>
      </x:c>
      <x:c r="D33" s="56" t="str">
        <x:v>AE II</x:v>
      </x:c>
      <x:c r="E33" s="80" t="b">
        <x:v>1</x:v>
      </x:c>
      <x:c r="F33" s="72" t="n">
        <x:v>273675</x:v>
      </x:c>
      <x:c r="G33" s="72" t="n">
        <x:v>32841</x:v>
      </x:c>
      <x:c r="H33" s="72" t="n">
        <x:v>240699.95</x:v>
      </x:c>
      <x:c r="I33" s="72" t="n">
        <x:v>3789.16</x:v>
      </x:c>
      <x:c r="J33" s="72" t="n">
        <x:v>3789.16</x:v>
      </x:c>
      <x:c r="K33" s="72" t="n">
        <x:v>0</x:v>
      </x:c>
      <x:c r="L33" s="60" t="n">
        <x:v>0.11537894704789745</x:v>
      </x:c>
      <x:c r="M33" s="56" t="str">
        <x:v>&lt;80%</x:v>
      </x:c>
      <x:c r="N33" s="72" t="n">
        <x:v>0</x:v>
      </x:c>
      <x:c r="O33" s="56" t="n">
        <x:v>0</x:v>
      </x:c>
      <x:c r="P33" s="56" t="str">
        <x:v>Calculated - Control Clear</x:v>
      </x:c>
      <x:c r="Q33" s="72" t="n">
        <x:v>2624.5989999999997</x:v>
      </x:c>
      <x:c r="R33" s="72" t="n">
        <x:v>2624.5989999999997</x:v>
      </x:c>
      <x:c r="S33" s="60" t="n">
        <x:v>0.0157422550357821</x:v>
      </x:c>
    </x:row>
    <x:row r="34">
      <x:c r="A34" s="56" t="str">
        <x:v>EMP033</x:v>
      </x:c>
      <x:c r="B34" s="56" t="str">
        <x:v>Marcus Chen</x:v>
      </x:c>
      <x:c r="C34" s="56" t="str">
        <x:v>West</x:v>
      </x:c>
      <x:c r="D34" s="56" t="str">
        <x:v>Senior AE</x:v>
      </x:c>
      <x:c r="E34" s="80" t="b">
        <x:v>1</x:v>
      </x:c>
      <x:c r="F34" s="72" t="n">
        <x:v>456000</x:v>
      </x:c>
      <x:c r="G34" s="72" t="n">
        <x:v>54720</x:v>
      </x:c>
      <x:c r="H34" s="72" t="n">
        <x:v>363381.4</x:v>
      </x:c>
      <x:c r="I34" s="72" t="n">
        <x:v>55365.15</x:v>
      </x:c>
      <x:c r="J34" s="72" t="n">
        <x:v>55365.15</x:v>
      </x:c>
      <x:c r="K34" s="72" t="n">
        <x:v>0</x:v>
      </x:c>
      <x:c r="L34" s="60" t="n">
        <x:v>1.0117900219298246</x:v>
      </x:c>
      <x:c r="M34" s="56" t="str">
        <x:v>100%-119.99%</x:v>
      </x:c>
      <x:c r="N34" s="72" t="n">
        <x:v>600</x:v>
      </x:c>
      <x:c r="O34" s="56" t="n">
        <x:v>0</x:v>
      </x:c>
      <x:c r="P34" s="56" t="str">
        <x:v>Calculated - Control Clear</x:v>
      </x:c>
      <x:c r="Q34" s="72" t="n">
        <x:v>3729.3419000000004</x:v>
      </x:c>
      <x:c r="R34" s="72" t="n">
        <x:v>4329.3419</x:v>
      </x:c>
      <x:c r="S34" s="60" t="n">
        <x:v>0.15236099040842485</x:v>
      </x:c>
    </x:row>
    <x:row r="35">
      <x:c r="A35" s="56" t="str">
        <x:v>EMP034</x:v>
      </x:c>
      <x:c r="B35" s="56" t="str">
        <x:v>Priyanka Nair</x:v>
      </x:c>
      <x:c r="C35" s="56" t="str">
        <x:v>West</x:v>
      </x:c>
      <x:c r="D35" s="56" t="str">
        <x:v>Senior AE</x:v>
      </x:c>
      <x:c r="E35" s="80" t="b">
        <x:v>1</x:v>
      </x:c>
      <x:c r="F35" s="72" t="n">
        <x:v>396000</x:v>
      </x:c>
      <x:c r="G35" s="72" t="n">
        <x:v>47520</x:v>
      </x:c>
      <x:c r="H35" s="72" t="n">
        <x:v>540015.83</x:v>
      </x:c>
      <x:c r="I35" s="72" t="n">
        <x:v>20862.43</x:v>
      </x:c>
      <x:c r="J35" s="72" t="n">
        <x:v>20862.43</x:v>
      </x:c>
      <x:c r="K35" s="72" t="n">
        <x:v>0</x:v>
      </x:c>
      <x:c r="L35" s="60" t="n">
        <x:v>0.43902420033670037</x:v>
      </x:c>
      <x:c r="M35" s="56" t="str">
        <x:v>&lt;80%</x:v>
      </x:c>
      <x:c r="N35" s="72" t="n">
        <x:v>0</x:v>
      </x:c>
      <x:c r="O35" s="56" t="n">
        <x:v>0</x:v>
      </x:c>
      <x:c r="P35" s="56" t="str">
        <x:v>Calculated - Control Clear</x:v>
      </x:c>
      <x:c r="Q35" s="72" t="n">
        <x:v>11884.472049999997</x:v>
      </x:c>
      <x:c r="R35" s="72" t="n">
        <x:v>11884.472049999997</x:v>
      </x:c>
      <x:c r="S35" s="60" t="n">
        <x:v>0.0386329971104736</x:v>
      </x:c>
    </x:row>
    <x:row r="36">
      <x:c r="A36" s="56" t="str">
        <x:v>EMP035</x:v>
      </x:c>
      <x:c r="B36" s="56" t="str">
        <x:v>Cole Richardson</x:v>
      </x:c>
      <x:c r="C36" s="56" t="str">
        <x:v>West</x:v>
      </x:c>
      <x:c r="D36" s="56" t="str">
        <x:v>Senior AE</x:v>
      </x:c>
      <x:c r="E36" s="80" t="b">
        <x:v>1</x:v>
      </x:c>
      <x:c r="F36" s="72" t="n">
        <x:v>460800</x:v>
      </x:c>
      <x:c r="G36" s="72" t="n">
        <x:v>55296</x:v>
      </x:c>
      <x:c r="H36" s="72" t="n">
        <x:v>398266.53</x:v>
      </x:c>
      <x:c r="I36" s="72" t="n">
        <x:v>50639.26</x:v>
      </x:c>
      <x:c r="J36" s="72" t="n">
        <x:v>50639.26</x:v>
      </x:c>
      <x:c r="K36" s="72" t="n">
        <x:v>0</x:v>
      </x:c>
      <x:c r="L36" s="60" t="n">
        <x:v>0.915785228587963</x:v>
      </x:c>
      <x:c r="M36" s="56" t="str">
        <x:v>80%-99.99%</x:v>
      </x:c>
      <x:c r="N36" s="72" t="n">
        <x:v>250</x:v>
      </x:c>
      <x:c r="O36" s="56" t="n">
        <x:v>0</x:v>
      </x:c>
      <x:c r="P36" s="56" t="str">
        <x:v>Calculated - Control Clear</x:v>
      </x:c>
      <x:c r="Q36" s="72" t="n">
        <x:v>4364.864300000001</x:v>
      </x:c>
      <x:c r="R36" s="72" t="n">
        <x:v>4614.864300000001</x:v>
      </x:c>
      <x:c r="S36" s="60" t="n">
        <x:v>0.12714917319313776</x:v>
      </x:c>
    </x:row>
    <x:row r="37">
      <x:c r="A37" s="56" t="str">
        <x:v>EMP036</x:v>
      </x:c>
      <x:c r="B37" s="56" t="str">
        <x:v>Jasmine Sidhu</x:v>
      </x:c>
      <x:c r="C37" s="56" t="str">
        <x:v>West</x:v>
      </x:c>
      <x:c r="D37" s="56" t="str">
        <x:v>Senior AE</x:v>
      </x:c>
      <x:c r="E37" s="80" t="b">
        <x:v>1</x:v>
      </x:c>
      <x:c r="F37" s="72" t="n">
        <x:v>412800</x:v>
      </x:c>
      <x:c r="G37" s="72" t="n">
        <x:v>49536</x:v>
      </x:c>
      <x:c r="H37" s="72" t="n">
        <x:v>507309.2099999999</x:v>
      </x:c>
      <x:c r="I37" s="72" t="n">
        <x:v>50418.4</x:v>
      </x:c>
      <x:c r="J37" s="72" t="n">
        <x:v>50418.4</x:v>
      </x:c>
      <x:c r="K37" s="72" t="n">
        <x:v>0</x:v>
      </x:c>
      <x:c r="L37" s="60" t="n">
        <x:v>1.01781330749354</x:v>
      </x:c>
      <x:c r="M37" s="56" t="str">
        <x:v>100%-119.99%</x:v>
      </x:c>
      <x:c r="N37" s="72" t="n">
        <x:v>600</x:v>
      </x:c>
      <x:c r="O37" s="56" t="n">
        <x:v>0</x:v>
      </x:c>
      <x:c r="P37" s="56" t="str">
        <x:v>Calculated - Control Clear</x:v>
      </x:c>
      <x:c r="Q37" s="72" t="n">
        <x:v>9059.860499999995</x:v>
      </x:c>
      <x:c r="R37" s="72" t="n">
        <x:v>9659.860499999995</x:v>
      </x:c>
      <x:c r="S37" s="60" t="n">
        <x:v>0.09938396348057629</x:v>
      </x:c>
    </x:row>
    <x:row r="38">
      <x:c r="A38" s="56" t="str">
        <x:v>EMP037</x:v>
      </x:c>
      <x:c r="B38" s="56" t="str">
        <x:v>Erin MacDonald</x:v>
      </x:c>
      <x:c r="C38" s="56" t="str">
        <x:v>Atlantic</x:v>
      </x:c>
      <x:c r="D38" s="56" t="str">
        <x:v>AE I</x:v>
      </x:c>
      <x:c r="E38" s="80" t="b">
        <x:v>1</x:v>
      </x:c>
      <x:c r="F38" s="72" t="n">
        <x:v>237600</x:v>
      </x:c>
      <x:c r="G38" s="72" t="n">
        <x:v>28512</x:v>
      </x:c>
      <x:c r="H38" s="72" t="n">
        <x:v>227152.19</x:v>
      </x:c>
      <x:c r="I38" s="72" t="n">
        <x:v>21090.73</x:v>
      </x:c>
      <x:c r="J38" s="72" t="n">
        <x:v>9535.75</x:v>
      </x:c>
      <x:c r="K38" s="72" t="n">
        <x:v>11554.98</x:v>
      </x:c>
      <x:c r="L38" s="60" t="n">
        <x:v>0.3344468995510662</x:v>
      </x:c>
      <x:c r="M38" s="56" t="str">
        <x:v>&lt;80%</x:v>
      </x:c>
      <x:c r="N38" s="72" t="n">
        <x:v>0</x:v>
      </x:c>
      <x:c r="O38" s="56" t="n">
        <x:v>0</x:v>
      </x:c>
      <x:c r="P38" s="56" t="str">
        <x:v>Calculated - Control Clear</x:v>
      </x:c>
      <x:c r="Q38" s="72" t="n">
        <x:v>2642.2437999999997</x:v>
      </x:c>
      <x:c r="R38" s="72" t="n">
        <x:v>2642.2437999999997</x:v>
      </x:c>
      <x:c r="S38" s="60" t="n">
        <x:v>0.041979564449719814</x:v>
      </x:c>
    </x:row>
    <x:row r="39">
      <x:c r="A39" s="56" t="str">
        <x:v>EMP038</x:v>
      </x:c>
      <x:c r="B39" s="56" t="str">
        <x:v>Samuel Fraser</x:v>
      </x:c>
      <x:c r="C39" s="56" t="str">
        <x:v>Atlantic</x:v>
      </x:c>
      <x:c r="D39" s="56" t="str">
        <x:v>AE I</x:v>
      </x:c>
      <x:c r="E39" s="80" t="b">
        <x:v>1</x:v>
      </x:c>
      <x:c r="F39" s="72" t="n">
        <x:v>223200</x:v>
      </x:c>
      <x:c r="G39" s="72" t="n">
        <x:v>26784</x:v>
      </x:c>
      <x:c r="H39" s="72" t="n">
        <x:v>245623.08000000002</x:v>
      </x:c>
      <x:c r="I39" s="72" t="n">
        <x:v>0</x:v>
      </x:c>
      <x:c r="J39" s="72" t="n">
        <x:v>0</x:v>
      </x:c>
      <x:c r="K39" s="72" t="n">
        <x:v>0</x:v>
      </x:c>
      <x:c r="L39" s="60" t="n">
        <x:v>0</x:v>
      </x:c>
      <x:c r="M39" s="56" t="str">
        <x:v>&lt;80%</x:v>
      </x:c>
      <x:c r="N39" s="72" t="n">
        <x:v>0</x:v>
      </x:c>
      <x:c r="O39" s="56" t="n">
        <x:v>0</x:v>
      </x:c>
      <x:c r="P39" s="56" t="str">
        <x:v>Calculated - Control Clear</x:v>
      </x:c>
      <x:c r="Q39" s="72" t="n">
        <x:v>3635.6378999999997</x:v>
      </x:c>
      <x:c r="R39" s="72" t="n">
        <x:v>3635.6378999999997</x:v>
      </x:c>
      <x:c r="S39" s="60" t="n">
        <x:v>0</x:v>
      </x:c>
    </x:row>
    <x:row r="40">
      <x:c r="A40" s="56" t="str">
        <x:v>EMP039</x:v>
      </x:c>
      <x:c r="B40" s="56" t="str">
        <x:v>Isabelle LeBlanc</x:v>
      </x:c>
      <x:c r="C40" s="56" t="str">
        <x:v>Atlantic</x:v>
      </x:c>
      <x:c r="D40" s="56" t="str">
        <x:v>AE I</x:v>
      </x:c>
      <x:c r="E40" s="80" t="b">
        <x:v>1</x:v>
      </x:c>
      <x:c r="F40" s="72" t="n">
        <x:v>223200</x:v>
      </x:c>
      <x:c r="G40" s="72" t="n">
        <x:v>26784</x:v>
      </x:c>
      <x:c r="H40" s="72" t="n">
        <x:v>240947.22999999998</x:v>
      </x:c>
      <x:c r="I40" s="72" t="n">
        <x:v>38576.82</x:v>
      </x:c>
      <x:c r="J40" s="72" t="n">
        <x:v>38576.82</x:v>
      </x:c>
      <x:c r="K40" s="72" t="n">
        <x:v>0</x:v>
      </x:c>
      <x:c r="L40" s="60" t="n">
        <x:v>1.440293458781362</x:v>
      </x:c>
      <x:c r="M40" s="56" t="str">
        <x:v>120%+</x:v>
      </x:c>
      <x:c r="N40" s="72" t="n">
        <x:v>1000</x:v>
      </x:c>
      <x:c r="O40" s="56" t="n">
        <x:v>0</x:v>
      </x:c>
      <x:c r="P40" s="56" t="str">
        <x:v>Calculated - Control Clear</x:v>
      </x:c>
      <x:c r="Q40" s="72" t="n">
        <x:v>3402.6109999999985</x:v>
      </x:c>
      <x:c r="R40" s="72" t="n">
        <x:v>4402.610999999999</x:v>
      </x:c>
      <x:c r="S40" s="60" t="n">
        <x:v>0.16010484951414466</x:v>
      </x:c>
    </x:row>
    <x:row r="41">
      <x:c r="A41" s="56" t="str">
        <x:v>EMP040</x:v>
      </x:c>
      <x:c r="B41" s="56" t="str">
        <x:v>Jacob Murphy</x:v>
      </x:c>
      <x:c r="C41" s="56" t="str">
        <x:v>Atlantic</x:v>
      </x:c>
      <x:c r="D41" s="56" t="str">
        <x:v>AE I</x:v>
      </x:c>
      <x:c r="E41" s="80" t="b">
        <x:v>0</x:v>
      </x:c>
      <x:c r="F41" s="72" t="n">
        <x:v>0</x:v>
      </x:c>
      <x:c r="G41" s="72" t="n">
        <x:v>0</x:v>
      </x:c>
      <x:c r="H41" s="72" t="n">
        <x:v>0</x:v>
      </x:c>
      <x:c r="I41" s="72" t="n">
        <x:v>0</x:v>
      </x:c>
      <x:c r="J41" s="72" t="n">
        <x:v>0</x:v>
      </x:c>
      <x:c r="K41" s="72" t="n">
        <x:v>0</x:v>
      </x:c>
      <x:c r="L41" s="60"/>
      <x:c r="M41" s="56" t="str">
        <x:v>Not Eligible</x:v>
      </x:c>
      <x:c r="N41" s="72" t="n">
        <x:v>0</x:v>
      </x:c>
      <x:c r="O41" s="56" t="n">
        <x:v>0</x:v>
      </x:c>
      <x:c r="P41" s="56" t="str">
        <x:v>Not Eligible</x:v>
      </x:c>
      <x:c r="Q41" s="72" t="n">
        <x:v>0</x:v>
      </x:c>
      <x:c r="R41" s="72" t="n">
        <x:v>0</x:v>
      </x:c>
      <x:c r="S41" s="60" t="n">
        <x:v>0</x:v>
      </x:c>
    </x:row>
    <x:row r="42">
      <x:c r="A42" s="56" t="str">
        <x:v>EMP041</x:v>
      </x:c>
      <x:c r="B42" s="56" t="str">
        <x:v>Mia O'Brien</x:v>
      </x:c>
      <x:c r="C42" s="56" t="str">
        <x:v>Atlantic</x:v>
      </x:c>
      <x:c r="D42" s="56" t="str">
        <x:v>AE I</x:v>
      </x:c>
      <x:c r="E42" s="80" t="b">
        <x:v>1</x:v>
      </x:c>
      <x:c r="F42" s="72" t="n">
        <x:v>232800</x:v>
      </x:c>
      <x:c r="G42" s="72" t="n">
        <x:v>27936</x:v>
      </x:c>
      <x:c r="H42" s="72" t="n">
        <x:v>209933.81</x:v>
      </x:c>
      <x:c r="I42" s="72" t="n">
        <x:v>21232.57</x:v>
      </x:c>
      <x:c r="J42" s="72" t="n">
        <x:v>21232.57</x:v>
      </x:c>
      <x:c r="K42" s="72" t="n">
        <x:v>0</x:v>
      </x:c>
      <x:c r="L42" s="60" t="n">
        <x:v>0.7600433132875143</x:v>
      </x:c>
      <x:c r="M42" s="56" t="str">
        <x:v>&lt;80%</x:v>
      </x:c>
      <x:c r="N42" s="72" t="n">
        <x:v>0</x:v>
      </x:c>
      <x:c r="O42" s="56" t="n">
        <x:v>0</x:v>
      </x:c>
      <x:c r="P42" s="56" t="str">
        <x:v>Calculated - Control Clear</x:v>
      </x:c>
      <x:c r="Q42" s="72" t="n">
        <x:v>2336.2762000000002</x:v>
      </x:c>
      <x:c r="R42" s="72" t="n">
        <x:v>2336.2762000000002</x:v>
      </x:c>
      <x:c r="S42" s="60" t="n">
        <x:v>0.1011393543517359</x:v>
      </x:c>
    </x:row>
    <x:row r="43">
      <x:c r="A43" s="56" t="str">
        <x:v>EMP042</x:v>
      </x:c>
      <x:c r="B43" s="56" t="str">
        <x:v>Ben Sullivan</x:v>
      </x:c>
      <x:c r="C43" s="56" t="str">
        <x:v>Atlantic</x:v>
      </x:c>
      <x:c r="D43" s="56" t="str">
        <x:v>AE II</x:v>
      </x:c>
      <x:c r="E43" s="80" t="b">
        <x:v>1</x:v>
      </x:c>
      <x:c r="F43" s="72" t="n">
        <x:v>343200</x:v>
      </x:c>
      <x:c r="G43" s="72" t="n">
        <x:v>41184</x:v>
      </x:c>
      <x:c r="H43" s="72" t="n">
        <x:v>293884.79000000004</x:v>
      </x:c>
      <x:c r="I43" s="72" t="n">
        <x:v>64212.81</x:v>
      </x:c>
      <x:c r="J43" s="72" t="n">
        <x:v>64212.81</x:v>
      </x:c>
      <x:c r="K43" s="72" t="n">
        <x:v>0</x:v>
      </x:c>
      <x:c r="L43" s="60" t="n">
        <x:v>1.559168851981352</x:v>
      </x:c>
      <x:c r="M43" s="56" t="str">
        <x:v>120%+</x:v>
      </x:c>
      <x:c r="N43" s="72" t="n">
        <x:v>1000</x:v>
      </x:c>
      <x:c r="O43" s="56" t="n">
        <x:v>0</x:v>
      </x:c>
      <x:c r="P43" s="56" t="str">
        <x:v>Calculated - Control Clear</x:v>
      </x:c>
      <x:c r="Q43" s="72" t="n">
        <x:v>3193.3358</x:v>
      </x:c>
      <x:c r="R43" s="72" t="n">
        <x:v>4193.3358</x:v>
      </x:c>
      <x:c r="S43" s="60" t="n">
        <x:v>0.21849654077027936</x:v>
      </x:c>
    </x:row>
    <x:row r="44">
      <x:c r="A44" s="56" t="str">
        <x:v>EMP043</x:v>
      </x:c>
      <x:c r="B44" s="56" t="str">
        <x:v>Sophie Landry</x:v>
      </x:c>
      <x:c r="C44" s="56" t="str">
        <x:v>Atlantic</x:v>
      </x:c>
      <x:c r="D44" s="56" t="str">
        <x:v>AE II</x:v>
      </x:c>
      <x:c r="E44" s="80" t="b">
        <x:v>1</x:v>
      </x:c>
      <x:c r="F44" s="72" t="n">
        <x:v>304800</x:v>
      </x:c>
      <x:c r="G44" s="72" t="n">
        <x:v>36576</x:v>
      </x:c>
      <x:c r="H44" s="72" t="n">
        <x:v>248390.99999999997</x:v>
      </x:c>
      <x:c r="I44" s="72" t="n">
        <x:v>49321.509999999995</x:v>
      </x:c>
      <x:c r="J44" s="72" t="n">
        <x:v>49321.509999999995</x:v>
      </x:c>
      <x:c r="K44" s="72" t="n">
        <x:v>0</x:v>
      </x:c>
      <x:c r="L44" s="60" t="n">
        <x:v>1.3484664807524058</x:v>
      </x:c>
      <x:c r="M44" s="56" t="str">
        <x:v>120%+</x:v>
      </x:c>
      <x:c r="N44" s="72" t="n">
        <x:v>1000</x:v>
      </x:c>
      <x:c r="O44" s="56" t="n">
        <x:v>0</x:v>
      </x:c>
      <x:c r="P44" s="56" t="str">
        <x:v>Calculated - Control Clear</x:v>
      </x:c>
      <x:c r="Q44" s="72" t="n">
        <x:v>2721.392499999999</x:v>
      </x:c>
      <x:c r="R44" s="72" t="n">
        <x:v>3721.392499999999</x:v>
      </x:c>
      <x:c r="S44" s="60" t="n">
        <x:v>0.19856399789042276</x:v>
      </x:c>
    </x:row>
    <x:row r="45">
      <x:c r="A45" s="56" t="str">
        <x:v>EMP044</x:v>
      </x:c>
      <x:c r="B45" s="56" t="str">
        <x:v>Aiden Power</x:v>
      </x:c>
      <x:c r="C45" s="56" t="str">
        <x:v>Atlantic</x:v>
      </x:c>
      <x:c r="D45" s="56" t="str">
        <x:v>AE II</x:v>
      </x:c>
      <x:c r="E45" s="80" t="b">
        <x:v>1</x:v>
      </x:c>
      <x:c r="F45" s="72" t="n">
        <x:v>331200</x:v>
      </x:c>
      <x:c r="G45" s="72" t="n">
        <x:v>39744</x:v>
      </x:c>
      <x:c r="H45" s="72" t="n">
        <x:v>329377.1</x:v>
      </x:c>
      <x:c r="I45" s="72" t="n">
        <x:v>89870.18000000001</x:v>
      </x:c>
      <x:c r="J45" s="72" t="n">
        <x:v>89870.18000000001</x:v>
      </x:c>
      <x:c r="K45" s="72" t="n">
        <x:v>0</x:v>
      </x:c>
      <x:c r="L45" s="60" t="n">
        <x:v>2.26122634863124</x:v>
      </x:c>
      <x:c r="M45" s="56" t="str">
        <x:v>120%+</x:v>
      </x:c>
      <x:c r="N45" s="72" t="n">
        <x:v>1000</x:v>
      </x:c>
      <x:c r="O45" s="56" t="n">
        <x:v>0</x:v>
      </x:c>
      <x:c r="P45" s="56" t="str">
        <x:v>Calculated - Control Clear</x:v>
      </x:c>
      <x:c r="Q45" s="72" t="n">
        <x:v>4018.54645</x:v>
      </x:c>
      <x:c r="R45" s="72" t="n">
        <x:v>5018.54645</x:v>
      </x:c>
      <x:c r="S45" s="60" t="n">
        <x:v>0.2728489017603228</x:v>
      </x:c>
    </x:row>
    <x:row r="46">
      <x:c r="A46" s="56" t="str">
        <x:v>EMP045</x:v>
      </x:c>
      <x:c r="B46" s="56" t="str">
        <x:v>Claire MacKenzie</x:v>
      </x:c>
      <x:c r="C46" s="56" t="str">
        <x:v>Atlantic</x:v>
      </x:c>
      <x:c r="D46" s="56" t="str">
        <x:v>AE II</x:v>
      </x:c>
      <x:c r="E46" s="80" t="b">
        <x:v>1</x:v>
      </x:c>
      <x:c r="F46" s="72" t="n">
        <x:v>297600</x:v>
      </x:c>
      <x:c r="G46" s="72" t="n">
        <x:v>35712</x:v>
      </x:c>
      <x:c r="H46" s="72" t="n">
        <x:v>295235.53</x:v>
      </x:c>
      <x:c r="I46" s="72" t="n">
        <x:v>67637.90000000001</x:v>
      </x:c>
      <x:c r="J46" s="72" t="n">
        <x:v>67637.90000000001</x:v>
      </x:c>
      <x:c r="K46" s="72" t="n">
        <x:v>0</x:v>
      </x:c>
      <x:c r="L46" s="60" t="n">
        <x:v>1.8939824148745523</x:v>
      </x:c>
      <x:c r="M46" s="56" t="str">
        <x:v>120%+</x:v>
      </x:c>
      <x:c r="N46" s="72" t="n">
        <x:v>1000</x:v>
      </x:c>
      <x:c r="O46" s="56" t="n">
        <x:v>0</x:v>
      </x:c>
      <x:c r="P46" s="56" t="str">
        <x:v>Calculated - Control Clear</x:v>
      </x:c>
      <x:c r="Q46" s="72" t="n">
        <x:v>3621.3663500000002</x:v>
      </x:c>
      <x:c r="R46" s="72" t="n">
        <x:v>4621.36635</x:v>
      </x:c>
      <x:c r="S46" s="60" t="n">
        <x:v>0.2290981034701345</x:v>
      </x:c>
    </x:row>
    <x:row r="47">
      <x:c r="A47" s="56" t="str">
        <x:v>EMP046</x:v>
      </x:c>
      <x:c r="B47" s="56" t="str">
        <x:v>Daniel Okafor</x:v>
      </x:c>
      <x:c r="C47" s="56" t="str">
        <x:v>Atlantic</x:v>
      </x:c>
      <x:c r="D47" s="56" t="str">
        <x:v>AE II</x:v>
      </x:c>
      <x:c r="E47" s="80" t="b">
        <x:v>1</x:v>
      </x:c>
      <x:c r="F47" s="72" t="n">
        <x:v>304800</x:v>
      </x:c>
      <x:c r="G47" s="72" t="n">
        <x:v>36576</x:v>
      </x:c>
      <x:c r="H47" s="72" t="n">
        <x:v>315728.87</x:v>
      </x:c>
      <x:c r="I47" s="72" t="n">
        <x:v>24828.57</x:v>
      </x:c>
      <x:c r="J47" s="72" t="n">
        <x:v>20123.309999999998</x:v>
      </x:c>
      <x:c r="K47" s="72" t="n">
        <x:v>4705.26</x:v>
      </x:c>
      <x:c r="L47" s="60" t="n">
        <x:v>0.5501779855643044</x:v>
      </x:c>
      <x:c r="M47" s="56" t="str">
        <x:v>&lt;80%</x:v>
      </x:c>
      <x:c r="N47" s="72" t="n">
        <x:v>0</x:v>
      </x:c>
      <x:c r="O47" s="56" t="n">
        <x:v>0</x:v>
      </x:c>
      <x:c r="P47" s="56" t="str">
        <x:v>Calculated - Control Clear</x:v>
      </x:c>
      <x:c r="Q47" s="72" t="n">
        <x:v>4099.772199999999</x:v>
      </x:c>
      <x:c r="R47" s="72" t="n">
        <x:v>4099.772199999999</x:v>
      </x:c>
      <x:c r="S47" s="60" t="n">
        <x:v>0.06373604669094719</x:v>
      </x:c>
    </x:row>
    <x:row r="48">
      <x:c r="A48" s="56" t="str">
        <x:v>EMP047</x:v>
      </x:c>
      <x:c r="B48" s="56" t="str">
        <x:v>Rachel Green</x:v>
      </x:c>
      <x:c r="C48" s="56" t="str">
        <x:v>Atlantic</x:v>
      </x:c>
      <x:c r="D48" s="56" t="str">
        <x:v>Senior AE</x:v>
      </x:c>
      <x:c r="E48" s="80" t="b">
        <x:v>0</x:v>
      </x:c>
      <x:c r="F48" s="72" t="n">
        <x:v>0</x:v>
      </x:c>
      <x:c r="G48" s="72" t="n">
        <x:v>0</x:v>
      </x:c>
      <x:c r="H48" s="72" t="n">
        <x:v>0</x:v>
      </x:c>
      <x:c r="I48" s="72" t="n">
        <x:v>0</x:v>
      </x:c>
      <x:c r="J48" s="72" t="n">
        <x:v>0</x:v>
      </x:c>
      <x:c r="K48" s="72" t="n">
        <x:v>0</x:v>
      </x:c>
      <x:c r="L48" s="60"/>
      <x:c r="M48" s="56" t="str">
        <x:v>Not Eligible</x:v>
      </x:c>
      <x:c r="N48" s="72" t="n">
        <x:v>0</x:v>
      </x:c>
      <x:c r="O48" s="56" t="n">
        <x:v>0</x:v>
      </x:c>
      <x:c r="P48" s="56" t="str">
        <x:v>Not Eligible</x:v>
      </x:c>
      <x:c r="Q48" s="72" t="n">
        <x:v>0</x:v>
      </x:c>
      <x:c r="R48" s="72" t="n">
        <x:v>0</x:v>
      </x:c>
      <x:c r="S48" s="60" t="n">
        <x:v>0</x:v>
      </x:c>
    </x:row>
    <x:row r="49">
      <x:c r="A49" s="56" t="str">
        <x:v>EMP048</x:v>
      </x:c>
      <x:c r="B49" s="56" t="str">
        <x:v>Matthew King</x:v>
      </x:c>
      <x:c r="C49" s="56" t="str">
        <x:v>Atlantic</x:v>
      </x:c>
      <x:c r="D49" s="56" t="str">
        <x:v>Senior AE</x:v>
      </x:c>
      <x:c r="E49" s="80" t="b">
        <x:v>1</x:v>
      </x:c>
      <x:c r="F49" s="72" t="n">
        <x:v>412800</x:v>
      </x:c>
      <x:c r="G49" s="72" t="n">
        <x:v>49536</x:v>
      </x:c>
      <x:c r="H49" s="72" t="n">
        <x:v>414052.88</x:v>
      </x:c>
      <x:c r="I49" s="72" t="n">
        <x:v>19233.63</x:v>
      </x:c>
      <x:c r="J49" s="72" t="n">
        <x:v>19233.63</x:v>
      </x:c>
      <x:c r="K49" s="72" t="n">
        <x:v>0</x:v>
      </x:c>
      <x:c r="L49" s="60" t="n">
        <x:v>0.3882757994186047</x:v>
      </x:c>
      <x:c r="M49" s="56" t="str">
        <x:v>&lt;80%</x:v>
      </x:c>
      <x:c r="N49" s="72" t="n">
        <x:v>0</x:v>
      </x:c>
      <x:c r="O49" s="56" t="n">
        <x:v>0</x:v>
      </x:c>
      <x:c r="P49" s="56" t="str">
        <x:v>Calculated - Control Clear</x:v>
      </x:c>
      <x:c r="Q49" s="72" t="n">
        <x:v>5138.203299999999</x:v>
      </x:c>
      <x:c r="R49" s="72" t="n">
        <x:v>5138.203299999999</x:v>
      </x:c>
      <x:c r="S49" s="60" t="n">
        <x:v>0.04645211017491293</x:v>
      </x:c>
    </x:row>
  </x:sheetData>
  <x:conditionalFormatting sqref="N2:N4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{EB209746-0CE8-7DED-C628-AE2428E8A96C}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209746-0CE8-7DED-C628-AE2428E8A96C}">
            <x14:dataBar gradient="1">
              <x14:cfvo type="min"/>
              <x14:cfvo type="max"/>
              <x14:fillColor rgb="FFA02B93"/>
            </x14:dataBar>
          </x14:cfRule>
          <xm:sqref>N2:N49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20" hidden="0" customWidth="1"/>
    <x:col min="5" max="5" width="14" hidden="0" customWidth="1"/>
    <x:col min="6" max="6" width="20" hidden="0" customWidth="1"/>
    <x:col min="7" max="7" width="14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48" hidden="0" customWidth="1"/>
    <x:col min="13" max="13" width="56" hidden="0" customWidth="1"/>
  </x:cols>
  <x:sheetData>
    <x:row r="1">
      <x:c r="A1" s="52" t="str">
        <x:v>Exceptions, Approval &amp; Payroll Reconciliation</x:v>
      </x:c>
    </x:row>
    <x:row r="3">
      <x:c r="A3" s="13" t="str">
        <x:v>KPI</x:v>
      </x:c>
      <x:c r="B3" s="13" t="str">
        <x:v>Value</x:v>
      </x:c>
      <x:c r="D3" s="54" t="str">
        <x:v>Scheduled_Payout_Date</x:v>
      </x:c>
      <x:c r="E3" s="54" t="str">
        <x:v>Component_Count</x:v>
      </x:c>
      <x:c r="F3" s="54" t="str">
        <x:v>Approved_Component_Count</x:v>
      </x:c>
      <x:c r="G3" s="54" t="str">
        <x:v>Blocked_Component_Count</x:v>
      </x:c>
      <x:c r="H3" s="54" t="str">
        <x:v>Working_Amount</x:v>
      </x:c>
      <x:c r="I3" s="54" t="str">
        <x:v>Approved_Payroll_Amount</x:v>
      </x:c>
      <x:c r="J3" s="54" t="str">
        <x:v>Held_or_Review_Amount</x:v>
      </x:c>
      <x:c r="K3" s="54" t="str">
        <x:v>Reconciliation_Difference</x:v>
      </x:c>
      <x:c r="L3" s="54" t="str">
        <x:v>Run_Status</x:v>
      </x:c>
    </x:row>
    <x:row r="4">
      <x:c r="A4" t="str">
        <x:v>Detected Exceptions</x:v>
      </x:c>
      <x:c r="B4" t="n">
        <x:v>13</x:v>
      </x:c>
      <x:c r="D4" s="70" t="n">
        <x:v>46078</x:v>
      </x:c>
      <x:c r="E4" s="56" t="n">
        <x:v>48</x:v>
      </x:c>
      <x:c r="F4" s="56" t="n">
        <x:v>43</x:v>
      </x:c>
      <x:c r="G4" s="56" t="n">
        <x:v>1</x:v>
      </x:c>
      <x:c r="H4" s="72" t="n">
        <x:v>52212.30795000001</x:v>
      </x:c>
      <x:c r="I4" s="72" t="n">
        <x:v>51014.05285</x:v>
      </x:c>
      <x:c r="J4" s="72" t="n">
        <x:v>1198.2551000000094</x:v>
      </x:c>
      <x:c r="K4" s="72" t="n">
        <x:v>0</x:v>
      </x:c>
      <x:c r="L4" s="56" t="str">
        <x:v>Partial - Exceptions Outstanding</x:v>
      </x:c>
    </x:row>
    <x:row r="5">
      <x:c r="A5" t="str">
        <x:v>Critical Exceptions</x:v>
      </x:c>
      <x:c r="B5" t="n">
        <x:v>10</x:v>
      </x:c>
      <x:c r="D5" s="70" t="n">
        <x:v>46106</x:v>
      </x:c>
      <x:c r="E5" s="56" t="n">
        <x:v>48</x:v>
      </x:c>
      <x:c r="F5" s="56" t="n">
        <x:v>44</x:v>
      </x:c>
      <x:c r="G5" s="56" t="n">
        <x:v>0</x:v>
      </x:c>
      <x:c r="H5" s="72" t="n">
        <x:v>57091.801799999994</x:v>
      </x:c>
      <x:c r="I5" s="72" t="n">
        <x:v>57091.801799999994</x:v>
      </x:c>
      <x:c r="J5" s="72" t="n">
        <x:v>0</x:v>
      </x:c>
      <x:c r="K5" s="72" t="n">
        <x:v>0</x:v>
      </x:c>
      <x:c r="L5" s="56" t="str">
        <x:v>Ready for Payroll</x:v>
      </x:c>
    </x:row>
    <x:row r="6">
      <x:c r="A6" t="str">
        <x:v>Review Exceptions</x:v>
      </x:c>
      <x:c r="B6" t="n">
        <x:v>3</x:v>
      </x:c>
      <x:c r="D6" s="70" t="n">
        <x:v>46139</x:v>
      </x:c>
      <x:c r="E6" s="56" t="n">
        <x:v>48</x:v>
      </x:c>
      <x:c r="F6" s="56" t="n">
        <x:v>44</x:v>
      </x:c>
      <x:c r="G6" s="56" t="n">
        <x:v>1</x:v>
      </x:c>
      <x:c r="H6" s="72" t="n">
        <x:v>62904.44015</x:v>
      </x:c>
      <x:c r="I6" s="72" t="n">
        <x:v>62904.44015</x:v>
      </x:c>
      <x:c r="J6" s="72" t="n">
        <x:v>0</x:v>
      </x:c>
      <x:c r="K6" s="72" t="n">
        <x:v>0</x:v>
      </x:c>
      <x:c r="L6" s="56" t="str">
        <x:v>Partial - Exceptions Outstanding</x:v>
      </x:c>
    </x:row>
    <x:row r="7">
      <x:c r="A7" t="str">
        <x:v>Working Variable Compensation</x:v>
      </x:c>
      <x:c r="B7" s="66" t="n">
        <x:v>883765.1999645169</x:v>
      </x:c>
      <x:c r="D7" s="70" t="n">
        <x:v>46167</x:v>
      </x:c>
      <x:c r="E7" s="56" t="n">
        <x:v>48</x:v>
      </x:c>
      <x:c r="F7" s="56" t="n">
        <x:v>45</x:v>
      </x:c>
      <x:c r="G7" s="56" t="n">
        <x:v>0</x:v>
      </x:c>
      <x:c r="H7" s="72" t="n">
        <x:v>63931.91965000002</x:v>
      </x:c>
      <x:c r="I7" s="72" t="n">
        <x:v>63931.91965000002</x:v>
      </x:c>
      <x:c r="J7" s="72" t="n">
        <x:v>0</x:v>
      </x:c>
      <x:c r="K7" s="72" t="n">
        <x:v>0</x:v>
      </x:c>
      <x:c r="L7" s="56" t="str">
        <x:v>Ready for Payroll</x:v>
      </x:c>
    </x:row>
    <x:row r="8">
      <x:c r="A8" t="str">
        <x:v>Approved Variable Compensation</x:v>
      </x:c>
      <x:c r="B8" s="66" t="n">
        <x:v>864325.9324500009</x:v>
      </x:c>
      <x:c r="D8" s="70" t="n">
        <x:v>46198</x:v>
      </x:c>
      <x:c r="E8" s="56" t="n">
        <x:v>48</x:v>
      </x:c>
      <x:c r="F8" s="56" t="n">
        <x:v>45</x:v>
      </x:c>
      <x:c r="G8" s="56" t="n">
        <x:v>0</x:v>
      </x:c>
      <x:c r="H8" s="72" t="n">
        <x:v>69073.82880000002</x:v>
      </x:c>
      <x:c r="I8" s="72" t="n">
        <x:v>69073.82880000002</x:v>
      </x:c>
      <x:c r="J8" s="72" t="n">
        <x:v>0</x:v>
      </x:c>
      <x:c r="K8" s="72" t="n">
        <x:v>0</x:v>
      </x:c>
      <x:c r="L8" s="56" t="str">
        <x:v>Ready for Payroll</x:v>
      </x:c>
    </x:row>
    <x:row r="9">
      <x:c r="A9" t="str">
        <x:v>Blocked / Pending Review</x:v>
      </x:c>
      <x:c r="B9" s="66" t="n">
        <x:v>19439.267514516017</x:v>
      </x:c>
      <x:c r="D9" s="70" t="n">
        <x:v>46230</x:v>
      </x:c>
      <x:c r="E9" s="56" t="n">
        <x:v>48</x:v>
      </x:c>
      <x:c r="F9" s="56" t="n">
        <x:v>44</x:v>
      </x:c>
      <x:c r="G9" s="56" t="n">
        <x:v>1</x:v>
      </x:c>
      <x:c r="H9" s="72" t="n">
        <x:v>81353.7192</x:v>
      </x:c>
      <x:c r="I9" s="72" t="n">
        <x:v>79472.0252</x:v>
      </x:c>
      <x:c r="J9" s="72" t="n">
        <x:v>1881.6940000000031</x:v>
      </x:c>
      <x:c r="K9" s="72" t="n">
        <x:v>0</x:v>
      </x:c>
      <x:c r="L9" s="56" t="str">
        <x:v>Partial - Exceptions Outstanding</x:v>
      </x:c>
    </x:row>
    <x:row r="10">
      <x:c r="A10" t="str">
        <x:v>Approved / Working</x:v>
      </x:c>
      <x:c r="B10" s="68" t="n">
        <x:v>0.9780040360094543</x:v>
      </x:c>
      <x:c r="D10" s="70" t="n">
        <x:v>46259</x:v>
      </x:c>
      <x:c r="E10" s="56" t="n">
        <x:v>48</x:v>
      </x:c>
      <x:c r="F10" s="56" t="n">
        <x:v>44</x:v>
      </x:c>
      <x:c r="G10" s="56" t="n">
        <x:v>1</x:v>
      </x:c>
      <x:c r="H10" s="72" t="n">
        <x:v>55168.57630000001</x:v>
      </x:c>
      <x:c r="I10" s="72" t="n">
        <x:v>53863.626150000004</x:v>
      </x:c>
      <x:c r="J10" s="72" t="n">
        <x:v>1304.9501500000042</x:v>
      </x:c>
      <x:c r="K10" s="72" t="n">
        <x:v>0</x:v>
      </x:c>
      <x:c r="L10" s="56" t="str">
        <x:v>Partial - Exceptions Outstanding</x:v>
      </x:c>
    </x:row>
    <x:row r="11">
      <x:c r="A11" t="str">
        <x:v>Payroll Reconciliation Difference</x:v>
      </x:c>
      <x:c r="B11" s="66" t="n">
        <x:v>0</x:v>
      </x:c>
      <x:c r="D11" s="70" t="n">
        <x:v>46290</x:v>
      </x:c>
      <x:c r="E11" s="56" t="n">
        <x:v>48</x:v>
      </x:c>
      <x:c r="F11" s="56" t="n">
        <x:v>45</x:v>
      </x:c>
      <x:c r="G11" s="56" t="n">
        <x:v>1</x:v>
      </x:c>
      <x:c r="H11" s="72" t="n">
        <x:v>57656.83501774192</x:v>
      </x:c>
      <x:c r="I11" s="72" t="n">
        <x:v>57215.52379999998</x:v>
      </x:c>
      <x:c r="J11" s="72" t="n">
        <x:v>441.3112177419389</x:v>
      </x:c>
      <x:c r="K11" s="72" t="n">
        <x:v>0</x:v>
      </x:c>
      <x:c r="L11" s="56" t="str">
        <x:v>Partial - Exceptions Outstanding</x:v>
      </x:c>
    </x:row>
    <x:row r="12">
      <x:c r="A12" t="str">
        <x:v>Control Principle</x:v>
      </x:c>
      <x:c r="B12" s="48" t="str">
        <x:v>Calculated compensation is not automatically payroll-ready.</x:v>
      </x:c>
      <x:c r="D12" s="70" t="n">
        <x:v>46321</x:v>
      </x:c>
      <x:c r="E12" s="56" t="n">
        <x:v>96</x:v>
      </x:c>
      <x:c r="F12" s="56" t="n">
        <x:v>69</x:v>
      </x:c>
      <x:c r="G12" s="56" t="n">
        <x:v>2</x:v>
      </x:c>
      <x:c r="H12" s="72" t="n">
        <x:v>113798.24734999998</x:v>
      </x:c>
      <x:c r="I12" s="72" t="n">
        <x:v>104150.77539999998</x:v>
      </x:c>
      <x:c r="J12" s="72" t="n">
        <x:v>9647.471949999992</x:v>
      </x:c>
      <x:c r="K12" s="72" t="n">
        <x:v>0</x:v>
      </x:c>
      <x:c r="L12" s="56" t="str">
        <x:v>Partial - Exceptions Outstanding</x:v>
      </x:c>
    </x:row>
    <x:row r="13">
      <x:c r="D13" s="70" t="n">
        <x:v>46351</x:v>
      </x:c>
      <x:c r="E13" s="56" t="n">
        <x:v>48</x:v>
      </x:c>
      <x:c r="F13" s="56" t="n">
        <x:v>45</x:v>
      </x:c>
      <x:c r="G13" s="56" t="n">
        <x:v>1</x:v>
      </x:c>
      <x:c r="H13" s="72" t="n">
        <x:v>94582.97074677423</x:v>
      </x:c>
      <x:c r="I13" s="72" t="n">
        <x:v>93800.85785000003</x:v>
      </x:c>
      <x:c r="J13" s="72" t="n">
        <x:v>782.112896774197</x:v>
      </x:c>
      <x:c r="K13" s="72" t="n">
        <x:v>0</x:v>
      </x:c>
      <x:c r="L13" s="56" t="str">
        <x:v>Partial - Exceptions Outstanding</x:v>
      </x:c>
    </x:row>
    <x:row r="14">
      <x:c r="D14" s="70" t="n">
        <x:v>46381</x:v>
      </x:c>
      <x:c r="E14" s="56" t="n">
        <x:v>48</x:v>
      </x:c>
      <x:c r="F14" s="56" t="n">
        <x:v>45</x:v>
      </x:c>
      <x:c r="G14" s="56" t="n">
        <x:v>1</x:v>
      </x:c>
      <x:c r="H14" s="72" t="n">
        <x:v>80000.27249999999</x:v>
      </x:c>
      <x:c r="I14" s="72" t="n">
        <x:v>79119.94829999999</x:v>
      </x:c>
      <x:c r="J14" s="72" t="n">
        <x:v>880.3242000000027</x:v>
      </x:c>
      <x:c r="K14" s="72" t="n">
        <x:v>0</x:v>
      </x:c>
      <x:c r="L14" s="56" t="str">
        <x:v>Partial - Exceptions Outstanding</x:v>
      </x:c>
    </x:row>
    <x:row r="15">
      <x:c r="D15" s="70" t="n">
        <x:v>46412</x:v>
      </x:c>
      <x:c r="E15" s="56" t="n">
        <x:v>48</x:v>
      </x:c>
      <x:c r="F15" s="56" t="n">
        <x:v>44</x:v>
      </x:c>
      <x:c r="G15" s="56" t="n">
        <x:v>2</x:v>
      </x:c>
      <x:c r="H15" s="72" t="n">
        <x:v>95990.28050000004</x:v>
      </x:c>
      <x:c r="I15" s="72" t="n">
        <x:v>92687.13250000002</x:v>
      </x:c>
      <x:c r="J15" s="72" t="n">
        <x:v>3303.1480000000156</x:v>
      </x:c>
      <x:c r="K15" s="72" t="n">
        <x:v>0</x:v>
      </x:c>
      <x:c r="L15" s="56" t="str">
        <x:v>Partial - Exceptions Outstanding</x:v>
      </x:c>
    </x:row>
    <x:row r="22">
      <x:c r="A22" s="54" t="str">
        <x:v>Exception_ID</x:v>
      </x:c>
      <x:c r="B22" s="54" t="str">
        <x:v>Exception_Type</x:v>
      </x:c>
      <x:c r="C22" s="54" t="str">
        <x:v>Employee_ID</x:v>
      </x:c>
      <x:c r="D22" s="54" t="str">
        <x:v>Employee_Name</x:v>
      </x:c>
      <x:c r="E22" s="54" t="str">
        <x:v>Period_ID</x:v>
      </x:c>
      <x:c r="F22" s="54" t="str">
        <x:v>Related_Transaction_ID</x:v>
      </x:c>
      <x:c r="G22" s="54" t="str">
        <x:v>Severity</x:v>
      </x:c>
      <x:c r="H22" s="54" t="str">
        <x:v>Blocking_Flag</x:v>
      </x:c>
      <x:c r="I22" s="54" t="str">
        <x:v>Related_Sales_Amount</x:v>
      </x:c>
      <x:c r="J22" s="54" t="str">
        <x:v>Working_Comp_Amount</x:v>
      </x:c>
      <x:c r="K22" s="54" t="str">
        <x:v>Exception_Status</x:v>
      </x:c>
      <x:c r="L22" s="54" t="str">
        <x:v>Resolution_Action</x:v>
      </x:c>
      <x:c r="M22" s="54" t="str">
        <x:v>Description</x:v>
      </x:c>
    </x:row>
    <x:row r="23">
      <x:c r="A23" s="56" t="str">
        <x:v>EXC001</x:v>
      </x:c>
      <x:c r="B23" s="56" t="str">
        <x:v>DUPLICATE_TRANSACTION_ID</x:v>
      </x:c>
      <x:c r="C23" s="56" t="str">
        <x:v>EMP003</x:v>
      </x:c>
      <x:c r="D23" s="56" t="str">
        <x:v>Olivia Martin</x:v>
      </x:c>
      <x:c r="E23" s="56" t="str">
        <x:v>2026-11</x:v>
      </x:c>
      <x:c r="F23" s="56" t="str">
        <x:v>TX000437</x:v>
      </x:c>
      <x:c r="G23" s="56" t="str">
        <x:v>Critical</x:v>
      </x:c>
      <x:c r="H23" s="56" t="str">
        <x:v>Yes</x:v>
      </x:c>
      <x:c r="I23" s="72" t="n">
        <x:v>34877.3</x:v>
      </x:c>
      <x:c r="J23" s="72" t="n">
        <x:v>880.3241999999999</x:v>
      </x:c>
      <x:c r="K23" s="56" t="str">
        <x:v>Open</x:v>
      </x:c>
      <x:c r="L23" s="82" t="str">
        <x:v>Investigate source records; retain approved valid record and exclude unsupported duplicate.</x:v>
      </x:c>
      <x:c r="M23" s="82" t="str">
        <x:v>Transaction ID TX000437 appears 2 times; credit cannot be determined until duplicate is resolved.</x:v>
      </x:c>
    </x:row>
    <x:row r="24">
      <x:c r="A24" s="56" t="str">
        <x:v>EXC002</x:v>
      </x:c>
      <x:c r="B24" s="56" t="str">
        <x:v>DUPLICATE_TRANSACTION_ID</x:v>
      </x:c>
      <x:c r="C24" s="56" t="str">
        <x:v>EMP043</x:v>
      </x:c>
      <x:c r="D24" s="56" t="str">
        <x:v>Sophie Landry</x:v>
      </x:c>
      <x:c r="E24" s="56" t="str">
        <x:v>2026-12</x:v>
      </x:c>
      <x:c r="F24" s="56" t="str">
        <x:v>TX006201</x:v>
      </x:c>
      <x:c r="G24" s="56" t="str">
        <x:v>Critical</x:v>
      </x:c>
      <x:c r="H24" s="56" t="str">
        <x:v>Yes</x:v>
      </x:c>
      <x:c r="I24" s="72" t="n">
        <x:v>48312.86</x:v>
      </x:c>
      <x:c r="J24" s="72" t="n">
        <x:v>851.5075</x:v>
      </x:c>
      <x:c r="K24" s="56" t="str">
        <x:v>Open</x:v>
      </x:c>
      <x:c r="L24" s="82" t="str">
        <x:v>Investigate source records; retain approved valid record and exclude unsupported duplicate.</x:v>
      </x:c>
      <x:c r="M24" s="82" t="str">
        <x:v>Transaction ID TX006201 appears 2 times; credit cannot be determined until duplicate is resolved.</x:v>
      </x:c>
    </x:row>
    <x:row r="25">
      <x:c r="A25" s="56" t="str">
        <x:v>EXC003</x:v>
      </x:c>
      <x:c r="B25" s="56" t="str">
        <x:v>DUPLICATE_TRANSACTION_ID</x:v>
      </x:c>
      <x:c r="C25" s="56" t="str">
        <x:v>EMP028</x:v>
      </x:c>
      <x:c r="D25" s="56" t="str">
        <x:v>Hannah Li</x:v>
      </x:c>
      <x:c r="E25" s="56" t="str">
        <x:v>2026-12</x:v>
      </x:c>
      <x:c r="F25" s="56" t="str">
        <x:v>TX004319</x:v>
      </x:c>
      <x:c r="G25" s="56" t="str">
        <x:v>Critical</x:v>
      </x:c>
      <x:c r="H25" s="56" t="str">
        <x:v>Yes</x:v>
      </x:c>
      <x:c r="I25" s="72" t="n">
        <x:v>3792.86</x:v>
      </x:c>
      <x:c r="J25" s="72" t="n">
        <x:v>2451.6405000000004</x:v>
      </x:c>
      <x:c r="K25" s="56" t="str">
        <x:v>Open</x:v>
      </x:c>
      <x:c r="L25" s="82" t="str">
        <x:v>Investigate source records; retain approved valid record and exclude unsupported duplicate.</x:v>
      </x:c>
      <x:c r="M25" s="82" t="str">
        <x:v>Transaction ID TX004319 appears 2 times; credit cannot be determined until duplicate is resolved.</x:v>
      </x:c>
    </x:row>
    <x:row r="26">
      <x:c r="A26" s="56" t="str">
        <x:v>EXC004</x:v>
      </x:c>
      <x:c r="B26" s="56" t="str">
        <x:v>INVALID_EMPLOYEE_ID</x:v>
      </x:c>
      <x:c r="C26" s="56" t="str">
        <x:v>EMP999</x:v>
      </x:c>
      <x:c r="D26" s="56"/>
      <x:c r="E26" s="56" t="str">
        <x:v>2026-04</x:v>
      </x:c>
      <x:c r="F26" s="56" t="str">
        <x:v>TX006833</x:v>
      </x:c>
      <x:c r="G26" s="56" t="str">
        <x:v>Critical</x:v>
      </x:c>
      <x:c r="H26" s="56" t="str">
        <x:v>Yes</x:v>
      </x:c>
      <x:c r="I26" s="72" t="n">
        <x:v>9200</x:v>
      </x:c>
      <x:c r="J26" s="72" t="n">
        <x:v>0</x:v>
      </x:c>
      <x:c r="K26" s="56" t="str">
        <x:v>Open</x:v>
      </x:c>
      <x:c r="L26" s="82" t="str">
        <x:v>Validate employee/credit ownership before any compensation credit.</x:v>
      </x:c>
      <x:c r="M26" s="82" t="str">
        <x:v>Sales-credit control detected invalid employee id.</x:v>
      </x:c>
    </x:row>
    <x:row r="27">
      <x:c r="A27" s="56" t="str">
        <x:v>EXC005</x:v>
      </x:c>
      <x:c r="B27" s="56" t="str">
        <x:v>UNKNOWN_PRODUCT_CATEGORY</x:v>
      </x:c>
      <x:c r="C27" s="56" t="str">
        <x:v>EMP021</x:v>
      </x:c>
      <x:c r="D27" s="56" t="str">
        <x:v>Émilie Fortin</x:v>
      </x:c>
      <x:c r="E27" s="56" t="str">
        <x:v>2026-07</x:v>
      </x:c>
      <x:c r="F27" s="56" t="str">
        <x:v>TX006835</x:v>
      </x:c>
      <x:c r="G27" s="56" t="str">
        <x:v>Critical</x:v>
      </x:c>
      <x:c r="H27" s="56" t="str">
        <x:v>Yes</x:v>
      </x:c>
      <x:c r="I27" s="72" t="n">
        <x:v>7600</x:v>
      </x:c>
      <x:c r="J27" s="72" t="n">
        <x:v>1304.9501499999992</x:v>
      </x:c>
      <x:c r="K27" s="56" t="str">
        <x:v>Open</x:v>
      </x:c>
      <x:c r="L27" s="82" t="str">
        <x:v>Validate product category and commission eligibility.</x:v>
      </x:c>
      <x:c r="M27" s="82" t="str">
        <x:v>Sales-credit control detected unknown product category.</x:v>
      </x:c>
    </x:row>
    <x:row r="28">
      <x:c r="A28" s="56" t="str">
        <x:v>EXC006</x:v>
      </x:c>
      <x:c r="B28" s="56" t="str">
        <x:v>EMPLOYEE_NOT_ELIGIBLE_ON_DATE</x:v>
      </x:c>
      <x:c r="C28" s="56" t="str">
        <x:v>EMP011</x:v>
      </x:c>
      <x:c r="D28" s="56" t="str">
        <x:v>Chloe Nguyen</x:v>
      </x:c>
      <x:c r="E28" s="56" t="str">
        <x:v>2026-08</x:v>
      </x:c>
      <x:c r="F28" s="56" t="str">
        <x:v>TX001649</x:v>
      </x:c>
      <x:c r="G28" s="56" t="str">
        <x:v>Critical</x:v>
      </x:c>
      <x:c r="H28" s="56" t="str">
        <x:v>Yes</x:v>
      </x:c>
      <x:c r="I28" s="72" t="n">
        <x:v>515.3</x:v>
      </x:c>
      <x:c r="J28" s="72" t="n">
        <x:v>441.31121774193537</x:v>
      </x:c>
      <x:c r="K28" s="56" t="str">
        <x:v>Open</x:v>
      </x:c>
      <x:c r="L28" s="82" t="str">
        <x:v>Validate transaction date and sales-credit ownership.</x:v>
      </x:c>
      <x:c r="M28" s="82" t="str">
        <x:v>Sales-credit control detected employee not eligible on date.</x:v>
      </x:c>
    </x:row>
    <x:row r="29">
      <x:c r="A29" s="56" t="str">
        <x:v>EXC007</x:v>
      </x:c>
      <x:c r="B29" s="56" t="str">
        <x:v>EMPLOYEE_NOT_ELIGIBLE_ON_DATE</x:v>
      </x:c>
      <x:c r="C29" s="56" t="str">
        <x:v>EMP031</x:v>
      </x:c>
      <x:c r="D29" s="56" t="str">
        <x:v>Kevin Tran</x:v>
      </x:c>
      <x:c r="E29" s="56" t="str">
        <x:v>2026-09</x:v>
      </x:c>
      <x:c r="F29" s="56" t="str">
        <x:v>TX006832</x:v>
      </x:c>
      <x:c r="G29" s="56" t="str">
        <x:v>Critical</x:v>
      </x:c>
      <x:c r="H29" s="56" t="str">
        <x:v>Yes</x:v>
      </x:c>
      <x:c r="I29" s="72" t="n">
        <x:v>18400</x:v>
      </x:c>
      <x:c r="J29" s="72" t="n">
        <x:v>654.9719500000001</x:v>
      </x:c>
      <x:c r="K29" s="56" t="str">
        <x:v>Open</x:v>
      </x:c>
      <x:c r="L29" s="82" t="str">
        <x:v>Validate transaction date and sales-credit ownership.</x:v>
      </x:c>
      <x:c r="M29" s="82" t="str">
        <x:v>Sales-credit control detected employee not eligible on date.</x:v>
      </x:c>
    </x:row>
    <x:row r="30">
      <x:c r="A30" s="56" t="str">
        <x:v>EXC008</x:v>
      </x:c>
      <x:c r="B30" s="56" t="str">
        <x:v>EMPLOYEE_NOT_ELIGIBLE_ON_DATE</x:v>
      </x:c>
      <x:c r="C30" s="56" t="str">
        <x:v>EMP047</x:v>
      </x:c>
      <x:c r="D30" s="56" t="str">
        <x:v>Rachel Green</x:v>
      </x:c>
      <x:c r="E30" s="56" t="str">
        <x:v>2026-10</x:v>
      </x:c>
      <x:c r="F30" s="56" t="str">
        <x:v>TX006635</x:v>
      </x:c>
      <x:c r="G30" s="56" t="str">
        <x:v>Critical</x:v>
      </x:c>
      <x:c r="H30" s="56" t="str">
        <x:v>Yes</x:v>
      </x:c>
      <x:c r="I30" s="72" t="n">
        <x:v>471.81</x:v>
      </x:c>
      <x:c r="J30" s="72" t="n">
        <x:v>782.1128967741935</x:v>
      </x:c>
      <x:c r="K30" s="56" t="str">
        <x:v>Open</x:v>
      </x:c>
      <x:c r="L30" s="82" t="str">
        <x:v>Validate transaction date and sales-credit ownership.</x:v>
      </x:c>
      <x:c r="M30" s="82" t="str">
        <x:v>Sales-credit control detected employee not eligible on date.</x:v>
      </x:c>
    </x:row>
    <x:row r="31">
      <x:c r="A31" s="56" t="str">
        <x:v>EXC009</x:v>
      </x:c>
      <x:c r="B31" s="56" t="str">
        <x:v>NEGATIVE_REVENUE_ON_SALE</x:v>
      </x:c>
      <x:c r="C31" s="56" t="str">
        <x:v>EMP038</x:v>
      </x:c>
      <x:c r="D31" s="56" t="str">
        <x:v>Samuel Fraser</x:v>
      </x:c>
      <x:c r="E31" s="56" t="str">
        <x:v>2026-06</x:v>
      </x:c>
      <x:c r="F31" s="56" t="str">
        <x:v>TX006834</x:v>
      </x:c>
      <x:c r="G31" s="56" t="str">
        <x:v>Review</x:v>
      </x:c>
      <x:c r="H31" s="56" t="str">
        <x:v>No</x:v>
      </x:c>
      <x:c r="I31" s="72" t="n">
        <x:v>-3500</x:v>
      </x:c>
      <x:c r="J31" s="72" t="n">
        <x:v>1881.6940000000009</x:v>
      </x:c>
      <x:c r="K31" s="56" t="str">
        <x:v>Open</x:v>
      </x:c>
      <x:c r="L31" s="82" t="str">
        <x:v>Determine whether activity is a return, credit, or source-data error.</x:v>
      </x:c>
      <x:c r="M31" s="82" t="str">
        <x:v>Sales-credit control detected negative revenue on sale.</x:v>
      </x:c>
    </x:row>
    <x:row r="32">
      <x:c r="A32" s="56" t="str">
        <x:v>EXC010</x:v>
      </x:c>
      <x:c r="B32" s="56" t="str">
        <x:v>OUTSIDE_COMP_PERIOD</x:v>
      </x:c>
      <x:c r="C32" s="56" t="str">
        <x:v>EMP026</x:v>
      </x:c>
      <x:c r="D32" s="56" t="str">
        <x:v>Grace Park</x:v>
      </x:c>
      <x:c r="E32" s="56"/>
      <x:c r="F32" s="56" t="str">
        <x:v>TX006836</x:v>
      </x:c>
      <x:c r="G32" s="56" t="str">
        <x:v>Review</x:v>
      </x:c>
      <x:c r="H32" s="56" t="str">
        <x:v>No</x:v>
      </x:c>
      <x:c r="I32" s="72" t="n">
        <x:v>11250</x:v>
      </x:c>
      <x:c r="J32" s="72" t="n">
        <x:v>0</x:v>
      </x:c>
      <x:c r="K32" s="56" t="str">
        <x:v>Open</x:v>
      </x:c>
      <x:c r="L32" s="82" t="str">
        <x:v>Route to the correct compensation period or prior-period adjustment process.</x:v>
      </x:c>
      <x:c r="M32" s="82" t="str">
        <x:v>Sales-credit control detected outside comp period.</x:v>
      </x:c>
    </x:row>
    <x:row r="33">
      <x:c r="A33" s="56" t="str">
        <x:v>EXC011</x:v>
      </x:c>
      <x:c r="B33" s="56" t="str">
        <x:v>MISSING_QUOTA</x:v>
      </x:c>
      <x:c r="C33" s="56" t="str">
        <x:v>EMP022</x:v>
      </x:c>
      <x:c r="D33" s="56" t="str">
        <x:v>Adam Haddad</x:v>
      </x:c>
      <x:c r="E33" s="56" t="str">
        <x:v>2026-03</x:v>
      </x:c>
      <x:c r="F33" s="56"/>
      <x:c r="G33" s="56" t="str">
        <x:v>Critical</x:v>
      </x:c>
      <x:c r="H33" s="56" t="str">
        <x:v>Yes</x:v>
      </x:c>
      <x:c r="I33" s="72" t="n">
        <x:v>53375.270000000004</x:v>
      </x:c>
      <x:c r="J33" s="72" t="n">
        <x:v>0</x:v>
      </x:c>
      <x:c r="K33" s="56" t="str">
        <x:v>Open</x:v>
      </x:c>
      <x:c r="L33" s="82" t="str">
        <x:v>Obtain approved March quota assignment, recalculate attainment and commission, then document resolution.</x:v>
      </x:c>
      <x:c r="M33" s="82" t="str">
        <x:v>Employee has eligible credited sales but no valid quota for March; attainment and commission cannot be finalized.</x:v>
      </x:c>
    </x:row>
    <x:row r="34">
      <x:c r="A34" s="56" t="str">
        <x:v>EXC012</x:v>
      </x:c>
      <x:c r="B34" s="56" t="str">
        <x:v>MISSING_PLAN_ASSIGNMENT</x:v>
      </x:c>
      <x:c r="C34" s="56" t="str">
        <x:v>EMP008</x:v>
      </x:c>
      <x:c r="D34" s="56" t="str">
        <x:v>Lucas Ferreira</x:v>
      </x:c>
      <x:c r="E34" s="56" t="str">
        <x:v>2026-01</x:v>
      </x:c>
      <x:c r="F34" s="56"/>
      <x:c r="G34" s="56" t="str">
        <x:v>Critical</x:v>
      </x:c>
      <x:c r="H34" s="56" t="str">
        <x:v>Yes</x:v>
      </x:c>
      <x:c r="I34" s="72" t="n">
        <x:v>91275.86</x:v>
      </x:c>
      <x:c r="J34" s="72" t="n">
        <x:v>1198.2550999999996</x:v>
      </x:c>
      <x:c r="K34" s="56" t="str">
        <x:v>Open</x:v>
      </x:c>
      <x:c r="L34" s="82" t="str">
        <x:v>Confirm approved January plan participation; if valid, correct effective dating and recalculate.</x:v>
      </x:c>
      <x:c r="M34" s="82" t="str">
        <x:v>January commission was mathematically calculated, but the employee's plan assignment begins February 1.</x:v>
      </x:c>
    </x:row>
    <x:row r="35">
      <x:c r="A35" s="56" t="str">
        <x:v>EXC013</x:v>
      </x:c>
      <x:c r="B35" s="56" t="str">
        <x:v>HIGH_ATTAINMENT_REVIEW</x:v>
      </x:c>
      <x:c r="C35" s="56" t="str">
        <x:v>EMP034</x:v>
      </x:c>
      <x:c r="D35" s="56" t="str">
        <x:v>Priyanka Nair</x:v>
      </x:c>
      <x:c r="E35" s="56" t="str">
        <x:v>2026-09</x:v>
      </x:c>
      <x:c r="F35" s="56"/>
      <x:c r="G35" s="56" t="str">
        <x:v>Review</x:v>
      </x:c>
      <x:c r="H35" s="56" t="str">
        <x:v>No</x:v>
      </x:c>
      <x:c r="I35" s="72" t="n">
        <x:v>310199.99999999994</x:v>
      </x:c>
      <x:c r="J35" s="72" t="n">
        <x:v>8992.499999999996</x:v>
      </x:c>
      <x:c r="K35" s="56" t="str">
        <x:v>Open</x:v>
      </x:c>
      <x:c r="L35" s="82" t="str">
        <x:v>Validate quota, large transactions, duplicate checks, sales credit and timing; approve if supported.</x:v>
      </x:c>
      <x:c r="M35" s="82" t="str">
        <x:v>Quota attainment exceeds the 175% review threshold; plan is uncapped but result requires validation.</x:v>
      </x:c>
    </x:row>
  </x:sheetData>
  <x:mergeCells>
    <x:mergeCell ref="A1:H1"/>
  </x:mergeCells>
  <x:conditionalFormatting sqref="G23:G35">
    <x:cfRule type="expression" dxfId="5" priority="1">
      <x:formula>G23="Critical"</x:formula>
    </x:cfRule>
    <x:cfRule type="expression" dxfId="6" priority="2">
      <x:formula>G23="Review"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22" hidden="0" customWidth="1"/>
    <x:col min="11" max="11" width="18" hidden="0" customWidth="1"/>
    <x:col min="12" max="12" width="22" hidden="0" customWidth="1"/>
    <x:col min="13" max="13" width="19" hidden="0" customWidth="1"/>
    <x:col min="14" max="14" width="18" hidden="0" customWidth="1"/>
    <x:col min="15" max="15" width="18" hidden="0" customWidth="1"/>
    <x:col min="16" max="16" width="22" hidden="0" customWidth="1"/>
    <x:col min="17" max="17" width="25" hidden="0" customWidth="1"/>
  </x:cols>
  <x:sheetData>
    <x:row r="1">
      <x:c r="A1" s="52" t="str">
        <x:v>Commission Expense Forecast — Uniform Attainment Scenarios</x:v>
      </x:c>
    </x:row>
    <x:row r="3">
      <x:c r="A3" s="54" t="str">
        <x:v>Scenario</x:v>
      </x:c>
      <x:c r="B3" s="54" t="str">
        <x:v>Attainment</x:v>
      </x:c>
      <x:c r="C3" s="54" t="str">
        <x:v>Effective Quota</x:v>
      </x:c>
      <x:c r="D3" s="54" t="str">
        <x:v>Forecast Sales</x:v>
      </x:c>
      <x:c r="E3" s="54" t="str">
        <x:v>Tier1 Sales</x:v>
      </x:c>
      <x:c r="F3" s="54" t="str">
        <x:v>Tier2 Sales</x:v>
      </x:c>
      <x:c r="G3" s="54" t="str">
        <x:v>Tier3 Sales</x:v>
      </x:c>
      <x:c r="H3" s="54" t="str">
        <x:v>Tier4 Sales</x:v>
      </x:c>
      <x:c r="I3" s="54" t="str">
        <x:v>Base Commission</x:v>
      </x:c>
      <x:c r="J3" s="54" t="str">
        <x:v>Accelerator Commission</x:v>
      </x:c>
      <x:c r="K3" s="54" t="str">
        <x:v>Total Commission</x:v>
      </x:c>
      <x:c r="L3" s="54" t="str">
        <x:v>No-Accelerator Baseline</x:v>
      </x:c>
      <x:c r="M3" s="54" t="str">
        <x:v>Accelerator Premium</x:v>
      </x:c>
      <x:c r="N3" s="54" t="str">
        <x:v>Commission / Sales</x:v>
      </x:c>
      <x:c r="O3" s="54" t="str">
        <x:v>Sales Change vs 100%</x:v>
      </x:c>
      <x:c r="P3" s="54" t="str">
        <x:v>Commission Change vs 100%</x:v>
      </x:c>
      <x:c r="Q3" s="54" t="str">
        <x:v>Expense Growth / Sales Growth</x:v>
      </x:c>
    </x:row>
    <x:row r="4">
      <x:c r="A4" s="56" t="str">
        <x:v>Downside</x:v>
      </x:c>
      <x:c r="B4" s="60" t="n">
        <x:v>0.9</x:v>
      </x:c>
      <x:c r="C4" s="66" t="n">
        <x:f>SUM('05_Perf_Comm'!$E$2:$E$577)</x:f>
        <x:v>58393775.64516129</x:v>
      </x:c>
      <x:c r="D4" s="66" t="n">
        <x:f>C4*B4</x:f>
        <x:v>52554398.08064517</x:v>
      </x:c>
      <x:c r="E4" s="66" t="n">
        <x:f>MIN(D4,C4*0.8)</x:f>
        <x:v>46715020.51612904</x:v>
      </x:c>
      <x:c r="F4" s="66" t="n">
        <x:f>MAX(0,MIN(D4,C4)-C4*0.8)</x:f>
        <x:v>5839377.564516127</x:v>
      </x:c>
      <x:c r="G4" s="66" t="n">
        <x:f>MAX(0,MIN(D4,C4*1.1)-C4)</x:f>
        <x:v>0</x:v>
      </x:c>
      <x:c r="H4" s="66" t="n">
        <x:f>MAX(0,D4-C4*1.1)</x:f>
        <x:v>0</x:v>
      </x:c>
      <x:c r="I4" s="66" t="n">
        <x:f>E4*0.01+F4*0.02</x:f>
        <x:v>583937.7564516129</x:v>
      </x:c>
      <x:c r="J4" s="66" t="n">
        <x:f>G4*0.035+H4*0.05</x:f>
        <x:v>0</x:v>
      </x:c>
      <x:c r="K4" s="66" t="n">
        <x:f>I4+J4</x:f>
        <x:v>583937.7564516129</x:v>
      </x:c>
      <x:c r="L4" s="66" t="n">
        <x:f>E4*0.01+F4*0.02+MAX(0,D4-C4)*0.02</x:f>
        <x:v>583937.7564516129</x:v>
      </x:c>
      <x:c r="M4" s="66" t="n">
        <x:f>K4-L4</x:f>
        <x:v>0</x:v>
      </x:c>
      <x:c r="N4" s="68" t="n">
        <x:f>IF(D4=0,0,K4/D4)</x:f>
        <x:v>0.01111111111111111</x:v>
      </x:c>
      <x:c r="O4" s="68" t="n">
        <x:f>D4/$D$5-1</x:f>
        <x:v>-0.09999999999999998</x:v>
      </x:c>
      <x:c r="P4" s="68" t="n">
        <x:f>K4/$K$5-1</x:f>
        <x:v>-0.16666666666666663</x:v>
      </x:c>
      <x:c r="Q4" s="84" t="n">
        <x:f>IF(O4=0,"",P4/O4)</x:f>
        <x:v>1.6666666666666667</x:v>
      </x:c>
    </x:row>
    <x:row r="5">
      <x:c r="A5" s="56" t="str">
        <x:v>Plan</x:v>
      </x:c>
      <x:c r="B5" s="60" t="n">
        <x:v>1</x:v>
      </x:c>
      <x:c r="C5" s="66" t="n">
        <x:f>SUM('05_Perf_Comm'!$E$2:$E$577)</x:f>
        <x:v>58393775.64516129</x:v>
      </x:c>
      <x:c r="D5" s="66" t="n">
        <x:f>C5*B5</x:f>
        <x:v>58393775.64516129</x:v>
      </x:c>
      <x:c r="E5" s="66" t="n">
        <x:f>MIN(D5,C5*0.8)</x:f>
        <x:v>46715020.51612904</x:v>
      </x:c>
      <x:c r="F5" s="66" t="n">
        <x:f>MAX(0,MIN(D5,C5)-C5*0.8)</x:f>
        <x:v>11678755.129032254</x:v>
      </x:c>
      <x:c r="G5" s="66" t="n">
        <x:f>MAX(0,MIN(D5,C5*1.1)-C5)</x:f>
        <x:v>0</x:v>
      </x:c>
      <x:c r="H5" s="66" t="n">
        <x:f>MAX(0,D5-C5*1.1)</x:f>
        <x:v>0</x:v>
      </x:c>
      <x:c r="I5" s="66" t="n">
        <x:f>E5*0.01+F5*0.02</x:f>
        <x:v>700725.3077419355</x:v>
      </x:c>
      <x:c r="J5" s="66" t="n">
        <x:f>G5*0.035+H5*0.05</x:f>
        <x:v>0</x:v>
      </x:c>
      <x:c r="K5" s="66" t="n">
        <x:f>I5+J5</x:f>
        <x:v>700725.3077419355</x:v>
      </x:c>
      <x:c r="L5" s="66" t="n">
        <x:f>E5*0.01+F5*0.02+MAX(0,D5-C5)*0.02</x:f>
        <x:v>700725.3077419355</x:v>
      </x:c>
      <x:c r="M5" s="66" t="n">
        <x:f>K5-L5</x:f>
        <x:v>0</x:v>
      </x:c>
      <x:c r="N5" s="68" t="n">
        <x:f>IF(D5=0,0,K5/D5)</x:f>
        <x:v>0.011999999999999999</x:v>
      </x:c>
      <x:c r="O5" s="68" t="n">
        <x:f>D5/$D$5-1</x:f>
        <x:v>0</x:v>
      </x:c>
      <x:c r="P5" s="68" t="n">
        <x:f>K5/$K$5-1</x:f>
        <x:v>0</x:v>
      </x:c>
      <x:c r="Q5" s="84" t="str">
        <x:f>IF(O5=0,"",P5/O5)</x:f>
      </x:c>
    </x:row>
    <x:row r="6">
      <x:c r="A6" s="56" t="str">
        <x:v>Upside</x:v>
      </x:c>
      <x:c r="B6" s="60" t="n">
        <x:v>1.1</x:v>
      </x:c>
      <x:c r="C6" s="66" t="n">
        <x:f>SUM('05_Perf_Comm'!$E$2:$E$577)</x:f>
        <x:v>58393775.64516129</x:v>
      </x:c>
      <x:c r="D6" s="66" t="n">
        <x:f>C6*B6</x:f>
        <x:v>64233153.20967743</x:v>
      </x:c>
      <x:c r="E6" s="66" t="n">
        <x:f>MIN(D6,C6*0.8)</x:f>
        <x:v>46715020.51612904</x:v>
      </x:c>
      <x:c r="F6" s="66" t="n">
        <x:f>MAX(0,MIN(D6,C6)-C6*0.8)</x:f>
        <x:v>11678755.129032254</x:v>
      </x:c>
      <x:c r="G6" s="66" t="n">
        <x:f>MAX(0,MIN(D6,C6*1.1)-C6)</x:f>
        <x:v>5839377.564516135</x:v>
      </x:c>
      <x:c r="H6" s="66" t="n">
        <x:f>MAX(0,D6-C6*1.1)</x:f>
        <x:v>0</x:v>
      </x:c>
      <x:c r="I6" s="66" t="n">
        <x:f>E6*0.01+F6*0.02</x:f>
        <x:v>700725.3077419355</x:v>
      </x:c>
      <x:c r="J6" s="66" t="n">
        <x:f>G6*0.035+H6*0.05</x:f>
        <x:v>204378.21475806474</x:v>
      </x:c>
      <x:c r="K6" s="66" t="n">
        <x:f>I6+J6</x:f>
        <x:v>905103.5225000002</x:v>
      </x:c>
      <x:c r="L6" s="66" t="n">
        <x:f>E6*0.01+F6*0.02+MAX(0,D6-C6)*0.02</x:f>
        <x:v>817512.8590322582</x:v>
      </x:c>
      <x:c r="M6" s="66" t="n">
        <x:f>K6-L6</x:f>
        <x:v>87590.66346774204</x:v>
      </x:c>
      <x:c r="N6" s="68" t="n">
        <x:f>IF(D6=0,0,K6/D6)</x:f>
        <x:v>0.014090909090909091</x:v>
      </x:c>
      <x:c r="O6" s="68" t="n">
        <x:f>D6/$D$5-1</x:f>
        <x:v>0.10000000000000009</x:v>
      </x:c>
      <x:c r="P6" s="68" t="n">
        <x:f>K6/$K$5-1</x:f>
        <x:v>0.29166666666666696</x:v>
      </x:c>
      <x:c r="Q6" s="84" t="n">
        <x:f>IF(O6=0,"",P6/O6)</x:f>
        <x:v>2.916666666666667</x:v>
      </x:c>
    </x:row>
    <x:row r="7">
      <x:c r="A7" s="56" t="str">
        <x:v>High Upside</x:v>
      </x:c>
      <x:c r="B7" s="60" t="n">
        <x:v>1.2</x:v>
      </x:c>
      <x:c r="C7" s="66" t="n">
        <x:f>SUM('05_Perf_Comm'!$E$2:$E$577)</x:f>
        <x:v>58393775.64516129</x:v>
      </x:c>
      <x:c r="D7" s="66" t="n">
        <x:f>C7*B7</x:f>
        <x:v>70072530.77419356</x:v>
      </x:c>
      <x:c r="E7" s="66" t="n">
        <x:f>MIN(D7,C7*0.8)</x:f>
        <x:v>46715020.51612904</x:v>
      </x:c>
      <x:c r="F7" s="66" t="n">
        <x:f>MAX(0,MIN(D7,C7)-C7*0.8)</x:f>
        <x:v>11678755.129032254</x:v>
      </x:c>
      <x:c r="G7" s="66" t="n">
        <x:f>MAX(0,MIN(D7,C7*1.1)-C7)</x:f>
        <x:v>5839377.564516135</x:v>
      </x:c>
      <x:c r="H7" s="66" t="n">
        <x:f>MAX(0,D7-C7*1.1)</x:f>
        <x:v>5839377.564516127</x:v>
      </x:c>
      <x:c r="I7" s="66" t="n">
        <x:f>E7*0.01+F7*0.02</x:f>
        <x:v>700725.3077419355</x:v>
      </x:c>
      <x:c r="J7" s="66" t="n">
        <x:f>G7*0.035+H7*0.05</x:f>
        <x:v>496347.0929838711</x:v>
      </x:c>
      <x:c r="K7" s="66" t="n">
        <x:f>I7+J7</x:f>
        <x:v>1197072.4007258066</x:v>
      </x:c>
      <x:c r="L7" s="66" t="n">
        <x:f>E7*0.01+F7*0.02+MAX(0,D7-C7)*0.02</x:f>
        <x:v>934300.4103225807</x:v>
      </x:c>
      <x:c r="M7" s="66" t="n">
        <x:f>K7-L7</x:f>
        <x:v>262771.9904032259</x:v>
      </x:c>
      <x:c r="N7" s="68" t="n">
        <x:f>IF(D7=0,0,K7/D7)</x:f>
        <x:v>0.017083333333333332</x:v>
      </x:c>
      <x:c r="O7" s="68" t="n">
        <x:f>D7/$D$5-1</x:f>
        <x:v>0.19999999999999996</x:v>
      </x:c>
      <x:c r="P7" s="68" t="n">
        <x:f>K7/$K$5-1</x:f>
        <x:v>0.7083333333333335</x:v>
      </x:c>
      <x:c r="Q7" s="84" t="n">
        <x:f>IF(O7=0,"",P7/O7)</x:f>
        <x:v>3.5416666666666683</x:v>
      </x:c>
    </x:row>
    <x:row r="11">
      <x:c r="A11" s="13" t="str">
        <x:v>Observation</x:v>
      </x:c>
      <x:c r="B11" s="13" t="str">
        <x:v>100%</x:v>
      </x:c>
      <x:c r="C11" s="13" t="str">
        <x:v>110%</x:v>
      </x:c>
      <x:c r="D11" s="13" t="str">
        <x:v>120%</x:v>
      </x:c>
      <x:c r="E11" s="13" t="str">
        <x:v>Interpretation</x:v>
      </x:c>
      <x:c r="F11" s="13" t="str">
        <x:v>Why</x:v>
      </x:c>
    </x:row>
    <x:row r="12">
      <x:c r="A12" t="str">
        <x:v>Forecast Sales</x:v>
      </x:c>
      <x:c r="B12" s="66" t="n">
        <x:f>D5</x:f>
        <x:v>58393775.64516129</x:v>
      </x:c>
      <x:c r="C12" s="66" t="n">
        <x:f>D6</x:f>
        <x:v>64233153.20967743</x:v>
      </x:c>
      <x:c r="D12" s="66" t="n">
        <x:f>D7</x:f>
        <x:v>70072530.77419356</x:v>
      </x:c>
      <x:c r="E12" t="str">
        <x:v>Sales rises linearly.</x:v>
      </x:c>
      <x:c r="F12" t="str">
        <x:v>Quota × attainment.</x:v>
      </x:c>
    </x:row>
    <x:row r="13">
      <x:c r="A13" t="str">
        <x:v>Commission Expense</x:v>
      </x:c>
      <x:c r="B13" s="66" t="n">
        <x:f>K5</x:f>
        <x:v>700725.3077419355</x:v>
      </x:c>
      <x:c r="C13" s="66" t="n">
        <x:f>K6</x:f>
        <x:v>905103.5225000002</x:v>
      </x:c>
      <x:c r="D13" s="66" t="n">
        <x:f>K7</x:f>
        <x:v>1197072.4007258066</x:v>
      </x:c>
      <x:c r="E13" t="str">
        <x:v>Expense rises faster above quota.</x:v>
      </x:c>
      <x:c r="F13" t="str">
        <x:v>Accelerator rates activate.</x:v>
      </x:c>
    </x:row>
    <x:row r="14">
      <x:c r="A14" t="str">
        <x:v>Effective Commission Rate</x:v>
      </x:c>
      <x:c r="B14" s="68" t="n">
        <x:f>N5</x:f>
        <x:v>0.011999999999999999</x:v>
      </x:c>
      <x:c r="C14" s="68" t="n">
        <x:f>N6</x:f>
        <x:v>0.014090909090909091</x:v>
      </x:c>
      <x:c r="D14" s="68" t="n">
        <x:f>N7</x:f>
        <x:v>0.017083333333333332</x:v>
      </x:c>
      <x:c r="E14" t="str">
        <x:v>Blended rate rises.</x:v>
      </x:c>
      <x:c r="F14" t="str">
        <x:v>Flat-rate forecasting can understate cost.</x:v>
      </x:c>
    </x:row>
  </x:sheetData>
  <x:mergeCells>
    <x:mergeCell ref="A1:Q1"/>
  </x:mergeCells>
  <x:conditionalFormatting sqref="M4:M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{DDE7A5C7-60C8-49DC-43D8-A27C1D190EBA}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7565cfb09644cd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E7A5C7-60C8-49DC-43D8-A27C1D190EBA}">
            <x14:dataBar gradient="1">
              <x14:cfvo type="min"/>
              <x14:cfvo type="max"/>
              <x14:fillColor rgb="FFA02B93"/>
            </x14:dataBar>
          </x14:cfRule>
          <xm:sqref>M4:M7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16" hidden="0" customWidth="1"/>
    <x:col min="4" max="4" width="12" hidden="0" customWidth="1"/>
    <x:col min="5" max="5" width="52" hidden="0" customWidth="1"/>
    <x:col min="6" max="6" width="52" hidden="0" customWidth="1"/>
    <x:col min="8" max="8" width="18" hidden="0" customWidth="1"/>
  </x:cols>
  <x:sheetData>
    <x:row r="1">
      <x:c r="A1" s="52" t="str">
        <x:v>Compensation Plan Effectiveness — Descriptive Economics</x:v>
      </x:c>
    </x:row>
    <x:row r="2">
      <x:c r="A2" s="7" t="str">
        <x:v>Synthetic data supports descriptive economics, not causal claims that incentives caused sales performance.</x:v>
      </x:c>
    </x:row>
    <x:row r="4">
      <x:c r="A4" s="13" t="str">
        <x:v>KPI</x:v>
      </x:c>
      <x:c r="B4" s="13" t="str">
        <x:v>Value</x:v>
      </x:c>
      <x:c r="D4" s="13" t="str">
        <x:v>Performance_Band</x:v>
      </x:c>
      <x:c r="E4" s="13" t="str">
        <x:v>Employee_Months</x:v>
      </x:c>
      <x:c r="F4" s="13" t="str">
        <x:v>Eligible_Sales</x:v>
      </x:c>
      <x:c r="G4" s="13" t="str">
        <x:v>Working_Commission</x:v>
      </x:c>
      <x:c r="H4" s="13" t="str">
        <x:v>Commission_Rate</x:v>
      </x:c>
    </x:row>
    <x:row r="5">
      <x:c r="A5" t="str">
        <x:v>Core Commission / Sales</x:v>
      </x:c>
      <x:c r="B5" s="68" t="n">
        <x:f>SUM('05_Perf_Comm'!P2:P577)/SUM('05_Perf_Comm'!G2:G577)</x:f>
        <x:v>0.014232928602448635</x:v>
      </x:c>
      <x:c r="D5" t="str">
        <x:v>Below 80%</x:v>
      </x:c>
      <x:c r="E5" t="n">
        <x:f>COUNTIF('05_Perf_Comm'!$L$2:$L$577,D5)</x:f>
        <x:v>37</x:v>
      </x:c>
      <x:c r="F5" s="66" t="n">
        <x:f>SUMIF('05_Perf_Comm'!$L$2:$L$577,D5,'05_Perf_Comm'!$G$2:$G$577)</x:f>
        <x:v>3263520.5300000007</x:v>
      </x:c>
      <x:c r="G5" s="66" t="n">
        <x:f>SUMIF('05_Perf_Comm'!$L$2:$L$577,D5,'05_Perf_Comm'!$P$2:$P$577)</x:f>
        <x:v>32635.2053</x:v>
      </x:c>
      <x:c r="H5" s="76" t="n">
        <x:f>IF(F5=0,0,G5/F5)</x:f>
        <x:v>0.009999999999999998</x:v>
      </x:c>
    </x:row>
    <x:row r="6">
      <x:c r="A6" t="str">
        <x:v>Attainment-to-Rate Correlation</x:v>
      </x:c>
      <x:c r="B6" s="68" t="n">
        <x:v>0.962404456402966</x:v>
      </x:c>
      <x:c r="D6" t="str">
        <x:v>80%-99.99%</x:v>
      </x:c>
      <x:c r="E6" t="n">
        <x:f>COUNTIF('05_Perf_Comm'!$L$2:$L$577,D6)</x:f>
        <x:v>190</x:v>
      </x:c>
      <x:c r="F6" s="66" t="n">
        <x:f>SUMIF('05_Perf_Comm'!$L$2:$L$577,D6,'05_Perf_Comm'!$G$2:$G$577)</x:f>
        <x:v>19157770.509999998</x:v>
      </x:c>
      <x:c r="G6" s="66" t="n">
        <x:f>SUMIF('05_Perf_Comm'!$L$2:$L$577,D6,'05_Perf_Comm'!$P$2:$P$577)</x:f>
        <x:v>217027.83729677415</x:v>
      </x:c>
      <x:c r="H6" s="76" t="n">
        <x:f>IF(F6=0,0,G6/F6)</x:f>
        <x:v>0.01132844958047126</x:v>
      </x:c>
    </x:row>
    <x:row r="7">
      <x:c r="A7" t="str">
        <x:v>Top 10% Payout Share</x:v>
      </x:c>
      <x:c r="B7" s="68" t="n">
        <x:v>0.2081146867542861</x:v>
      </x:c>
      <x:c r="D7" t="str">
        <x:v>100%-109.99%</x:v>
      </x:c>
      <x:c r="E7" t="n">
        <x:f>COUNTIF('05_Perf_Comm'!$L$2:$L$577,D7)</x:f>
        <x:v>138</x:v>
      </x:c>
      <x:c r="F7" s="66" t="n">
        <x:f>SUMIF('05_Perf_Comm'!$L$2:$L$577,D7,'05_Perf_Comm'!$G$2:$G$577)</x:f>
        <x:v>15032768.939999998</x:v>
      </x:c>
      <x:c r="G7" s="66" t="n">
        <x:f>SUMIF('05_Perf_Comm'!$L$2:$L$577,D7,'05_Perf_Comm'!$P$2:$P$577)</x:f>
        <x:v>196315.78386774202</x:v>
      </x:c>
      <x:c r="H7" s="76" t="n">
        <x:f>IF(F7=0,0,G7/F7)</x:f>
        <x:v>0.013059189870561667</x:v>
      </x:c>
    </x:row>
    <x:row r="8">
      <x:c r="A8" t="str">
        <x:v>Top 20% Payout Share</x:v>
      </x:c>
      <x:c r="B8" s="68" t="n">
        <x:v>0.35125053638175174</x:v>
      </x:c>
      <x:c r="D8" t="str">
        <x:v>110%-174.99%</x:v>
      </x:c>
      <x:c r="E8" t="n">
        <x:f>COUNTIF('05_Perf_Comm'!$L$2:$L$577,D8)</x:f>
        <x:v>176</x:v>
      </x:c>
      <x:c r="F8" s="66" t="n">
        <x:f>SUMIF('05_Perf_Comm'!$L$2:$L$577,D8,'05_Perf_Comm'!$G$2:$G$577)</x:f>
        <x:v>22975559.470000006</x:v>
      </x:c>
      <x:c r="G8" s="66" t="n">
        <x:f>SUMIF('05_Perf_Comm'!$L$2:$L$577,D8,'05_Perf_Comm'!$P$2:$P$577)</x:f>
        <x:v>410293.87349999987</x:v>
      </x:c>
      <x:c r="H8" s="76" t="n">
        <x:f>IF(F8=0,0,G8/F8)</x:f>
        <x:v>0.017857840373190256</x:v>
      </x:c>
    </x:row>
    <x:row r="9">
      <x:c r="A9" t="str">
        <x:v>Accelerator Share of Core Commission</x:v>
      </x:c>
      <x:c r="B9" s="68" t="n">
        <x:v>0.2510059932203857</x:v>
      </x:c>
      <x:c r="D9" t="str">
        <x:v>175%+ Review</x:v>
      </x:c>
      <x:c r="E9" t="n">
        <x:f>COUNTIF('05_Perf_Comm'!$L$2:$L$577,D9)</x:f>
        <x:v>1</x:v>
      </x:c>
      <x:c r="F9" s="66" t="n">
        <x:f>SUMIF('05_Perf_Comm'!$L$2:$L$577,D9,'05_Perf_Comm'!$G$2:$G$577)</x:f>
        <x:v>310199.99999999994</x:v>
      </x:c>
      <x:c r="G9" s="66" t="n">
        <x:f>SUMIF('05_Perf_Comm'!$L$2:$L$577,D9,'05_Perf_Comm'!$P$2:$P$577)</x:f>
        <x:v>8992.499999999996</x:v>
      </x:c>
      <x:c r="H9" s="76" t="n">
        <x:f>IF(F9=0,0,G9/F9)</x:f>
        <x:v>0.028989361702127653</x:v>
      </x:c>
    </x:row>
    <x:row r="10">
      <x:c r="A10" t="str">
        <x:v>Incremental Accelerator Premium</x:v>
      </x:c>
      <x:c r="B10" s="66" t="n">
        <x:v>114841.86013548385</x:v>
      </x:c>
    </x:row>
    <x:row r="11">
      <x:c r="A11" t="str">
        <x:v>SPIFF Cost / TSVC Sales</x:v>
      </x:c>
      <x:c r="B11" s="68" t="n">
        <x:v>0.010853337246323189</x:v>
      </x:c>
    </x:row>
    <x:row r="12">
      <x:c r="A12" t="str">
        <x:v>Approved / Working Compensation</x:v>
      </x:c>
      <x:c r="B12" s="68" t="n">
        <x:v>0.9780040360094552</x:v>
      </x:c>
    </x:row>
    <x:row r="16">
      <x:c r="A16" s="13" t="str">
        <x:v>Dimension</x:v>
      </x:c>
      <x:c r="B16" s="13" t="str">
        <x:v>Metric</x:v>
      </x:c>
      <x:c r="C16" s="13" t="str">
        <x:v>Observed</x:v>
      </x:c>
      <x:c r="D16" s="13" t="str">
        <x:v>Rating</x:v>
      </x:c>
      <x:c r="E16" s="13" t="str">
        <x:v>Interpretation</x:v>
      </x:c>
      <x:c r="F16" s="13" t="str">
        <x:v>Management Question</x:v>
      </x:c>
    </x:row>
    <x:row r="17">
      <x:c r="A17" t="str">
        <x:v>Pay-performance alignment</x:v>
      </x:c>
      <x:c r="B17" t="str">
        <x:v>Attainment vs effective-rate correlation</x:v>
      </x:c>
      <x:c r="C17" s="68" t="n">
        <x:v>0.962404456402966</x:v>
      </x:c>
      <x:c r="D17" t="str">
        <x:v>Green</x:v>
      </x:c>
      <x:c r="E17" s="48" t="str">
        <x:v>Higher attainment receives richer payout economics.</x:v>
      </x:c>
      <x:c r="F17" s="48" t="str">
        <x:v>Is differentiation motivational and affordable?</x:v>
      </x:c>
    </x:row>
    <x:row r="18">
      <x:c r="A18" t="str">
        <x:v>Payout differentiation</x:v>
      </x:c>
      <x:c r="B18" t="str">
        <x:v>Top 20% payout share</x:v>
      </x:c>
      <x:c r="C18" s="68" t="n">
        <x:v>0.35125053638175174</x:v>
      </x:c>
      <x:c r="D18" t="str">
        <x:v>Green</x:v>
      </x:c>
      <x:c r="E18" s="48" t="str">
        <x:v>Payout concentration reflects stronger earners.</x:v>
      </x:c>
      <x:c r="F18" s="48" t="str">
        <x:v>Is it performance-driven rather than quota artifacts?</x:v>
      </x:c>
    </x:row>
    <x:row r="19">
      <x:c r="A19" t="str">
        <x:v>Accelerator economics</x:v>
      </x:c>
      <x:c r="B19" t="str">
        <x:v>Incremental premium / core commission</x:v>
      </x:c>
      <x:c r="C19" s="68" t="n">
        <x:v>0.13272446429163387</x:v>
      </x:c>
      <x:c r="D19" t="str">
        <x:v>Green</x:v>
      </x:c>
      <x:c r="E19" s="48" t="str">
        <x:v>Accelerator uplift is visible and budgetable.</x:v>
      </x:c>
      <x:c r="F19" s="48" t="str">
        <x:v>Is premium justified by margin / strategic value?</x:v>
      </x:c>
    </x:row>
    <x:row r="20">
      <x:c r="A20" t="str">
        <x:v>SPIFF economics</x:v>
      </x:c>
      <x:c r="B20" t="str">
        <x:v>SPIFF cost / TSVC sales</x:v>
      </x:c>
      <x:c r="C20" s="68" t="n">
        <x:v>0.010853337246323189</x:v>
      </x:c>
      <x:c r="D20" t="str">
        <x:v>Green</x:v>
      </x:c>
      <x:c r="E20" s="48" t="str">
        <x:v>Temporary incentive cost is bounded.</x:v>
      </x:c>
      <x:c r="F20" s="48" t="str">
        <x:v>Does product margin justify the incentive?</x:v>
      </x:c>
    </x:row>
    <x:row r="21">
      <x:c r="A21" t="str">
        <x:v>Operational viability</x:v>
      </x:c>
      <x:c r="B21" t="str">
        <x:v>Approved / working compensation</x:v>
      </x:c>
      <x:c r="C21" s="68" t="n">
        <x:v>0.9780040360094552</x:v>
      </x:c>
      <x:c r="D21" t="str">
        <x:v>Green</x:v>
      </x:c>
      <x:c r="E21" s="48" t="str">
        <x:v>Most working compensation passes control.</x:v>
      </x:c>
      <x:c r="F21" s="48" t="str">
        <x:v>Are exception volumes operationally acceptable?</x:v>
      </x:c>
    </x:row>
  </x:sheetData>
  <x:mergeCells>
    <x:mergeCell ref="A1:N1"/>
    <x:mergeCell ref="A2:N2"/>
  </x:mergeCells>
  <x:conditionalFormatting sqref="H5:H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D17:D21">
    <x:cfRule type="expression" dxfId="7" priority="2">
      <x:formula>D17="Green"</x:formula>
    </x:cfRule>
  </x:conditionalFormatting>
  <x:pageMargins left="0.7" right="0.7" top="0.75" bottom="0.75" header="0.3" footer="0.3"/>
  <x:drawing xmlns:r="http://schemas.openxmlformats.org/officeDocument/2006/relationships" r:id="Rce28d4859de94cc2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3" hidden="0" customWidth="1"/>
    <x:col min="4" max="4" width="16" hidden="0" customWidth="1"/>
    <x:col min="5" max="5" width="18" hidden="0" customWidth="1"/>
    <x:col min="6" max="6" width="14" hidden="0" customWidth="1"/>
    <x:col min="7" max="7" width="10" hidden="0" customWidth="1"/>
    <x:col min="8" max="8" width="17" hidden="0" customWidth="1"/>
    <x:col min="9" max="9" width="12" hidden="0" customWidth="1"/>
    <x:col min="10" max="10" width="17" hidden="0" customWidth="1"/>
    <x:col min="11" max="11" width="31" hidden="0" customWidth="1"/>
  </x:cols>
  <x:sheetData>
    <x:row r="1">
      <x:c r="A1" s="52" t="str">
        <x:v>Payout Traceability — Why Did the Rep Earn Exactly This Amount?</x:v>
      </x:c>
    </x:row>
    <x:row r="3">
      <x:c r="A3" s="54" t="str">
        <x:v>Example</x:v>
      </x:c>
      <x:c r="B3" s="54" t="str">
        <x:v>Employee</x:v>
      </x:c>
      <x:c r="C3" s="54" t="str">
        <x:v>Period</x:v>
      </x:c>
      <x:c r="D3" s="54" t="str">
        <x:v>Quota</x:v>
      </x:c>
      <x:c r="E3" s="54" t="str">
        <x:v>Eligible Sales</x:v>
      </x:c>
      <x:c r="F3" s="54" t="str">
        <x:v>Attainment</x:v>
      </x:c>
      <x:c r="G3" s="54" t="str">
        <x:v>Tier</x:v>
      </x:c>
      <x:c r="H3" s="54" t="str">
        <x:v>Tier Sales</x:v>
      </x:c>
      <x:c r="I3" s="54" t="str">
        <x:v>Rate</x:v>
      </x:c>
      <x:c r="J3" s="54" t="str">
        <x:v>Commission</x:v>
      </x:c>
      <x:c r="K3" s="54" t="str">
        <x:v>Control Status</x:v>
      </x:c>
    </x:row>
    <x:row r="4">
      <x:c r="A4" t="str">
        <x:v>Maya August</x:v>
      </x:c>
      <x:c r="B4" t="str">
        <x:v>Maya Chen</x:v>
      </x:c>
      <x:c r="C4" t="str">
        <x:v>2026-08</x:v>
      </x:c>
      <x:c r="D4" s="74" t="n">
        <x:v>85400</x:v>
      </x:c>
      <x:c r="E4" s="74" t="n">
        <x:v>100772</x:v>
      </x:c>
      <x:c r="F4" s="68" t="n">
        <x:v>1.18</x:v>
      </x:c>
      <x:c r="G4" t="n">
        <x:v>1</x:v>
      </x:c>
      <x:c r="H4" s="74" t="n">
        <x:v>68320</x:v>
      </x:c>
      <x:c r="I4" s="68" t="n">
        <x:v>0.01</x:v>
      </x:c>
      <x:c r="J4" s="74" t="n">
        <x:v>683.2</x:v>
      </x:c>
      <x:c r="K4" t="str">
        <x:v>Ready for Commission Calculation</x:v>
      </x:c>
    </x:row>
    <x:row r="5">
      <x:c r="A5" t="str">
        <x:v>Maya August</x:v>
      </x:c>
      <x:c r="B5" t="str">
        <x:v>Maya Chen</x:v>
      </x:c>
      <x:c r="C5" t="str">
        <x:v>2026-08</x:v>
      </x:c>
      <x:c r="D5" s="74" t="n">
        <x:v>85400</x:v>
      </x:c>
      <x:c r="E5" s="74" t="n">
        <x:v>100772</x:v>
      </x:c>
      <x:c r="F5" s="68" t="n">
        <x:v>1.18</x:v>
      </x:c>
      <x:c r="G5" t="n">
        <x:v>2</x:v>
      </x:c>
      <x:c r="H5" s="74" t="n">
        <x:v>17080</x:v>
      </x:c>
      <x:c r="I5" s="68" t="n">
        <x:v>0.02</x:v>
      </x:c>
      <x:c r="J5" s="74" t="n">
        <x:v>341.6</x:v>
      </x:c>
      <x:c r="K5" t="str">
        <x:v>Ready for Commission Calculation</x:v>
      </x:c>
    </x:row>
    <x:row r="6">
      <x:c r="A6" t="str">
        <x:v>Maya August</x:v>
      </x:c>
      <x:c r="B6" t="str">
        <x:v>Maya Chen</x:v>
      </x:c>
      <x:c r="C6" t="str">
        <x:v>2026-08</x:v>
      </x:c>
      <x:c r="D6" s="74" t="n">
        <x:v>85400</x:v>
      </x:c>
      <x:c r="E6" s="74" t="n">
        <x:v>100772</x:v>
      </x:c>
      <x:c r="F6" s="68" t="n">
        <x:v>1.18</x:v>
      </x:c>
      <x:c r="G6" t="n">
        <x:v>3</x:v>
      </x:c>
      <x:c r="H6" s="74" t="n">
        <x:v>8540.000000000015</x:v>
      </x:c>
      <x:c r="I6" s="68" t="n">
        <x:v>0.035</x:v>
      </x:c>
      <x:c r="J6" s="74" t="n">
        <x:v>298.90000000000055</x:v>
      </x:c>
      <x:c r="K6" t="str">
        <x:v>Ready for Commission Calculation</x:v>
      </x:c>
    </x:row>
    <x:row r="7">
      <x:c r="A7" t="str">
        <x:v>Maya August</x:v>
      </x:c>
      <x:c r="B7" t="str">
        <x:v>Maya Chen</x:v>
      </x:c>
      <x:c r="C7" t="str">
        <x:v>2026-08</x:v>
      </x:c>
      <x:c r="D7" s="74" t="n">
        <x:v>85400</x:v>
      </x:c>
      <x:c r="E7" s="74" t="n">
        <x:v>100772</x:v>
      </x:c>
      <x:c r="F7" s="68" t="n">
        <x:v>1.18</x:v>
      </x:c>
      <x:c r="G7" t="n">
        <x:v>4</x:v>
      </x:c>
      <x:c r="H7" s="74" t="n">
        <x:v>6831.999999999985</x:v>
      </x:c>
      <x:c r="I7" s="68" t="n">
        <x:v>0.05</x:v>
      </x:c>
      <x:c r="J7" s="74" t="n">
        <x:v>341.5999999999993</x:v>
      </x:c>
      <x:c r="K7" t="str">
        <x:v>Ready for Commission Calculation</x:v>
      </x:c>
    </x:row>
    <x:row r="8">
      <x:c r="A8" t="str">
        <x:v>Priyanka September</x:v>
      </x:c>
      <x:c r="B8" t="str">
        <x:v>Priyanka Nair</x:v>
      </x:c>
      <x:c r="C8" t="str">
        <x:v>2026-09</x:v>
      </x:c>
      <x:c r="D8" s="74" t="n">
        <x:v>165000</x:v>
      </x:c>
      <x:c r="E8" s="74" t="n">
        <x:v>310200</x:v>
      </x:c>
      <x:c r="F8" s="68" t="n">
        <x:v>1.88</x:v>
      </x:c>
      <x:c r="G8" t="n">
        <x:v>1</x:v>
      </x:c>
      <x:c r="H8" s="74" t="n">
        <x:v>132000</x:v>
      </x:c>
      <x:c r="I8" s="68" t="n">
        <x:v>0.01</x:v>
      </x:c>
      <x:c r="J8" s="74" t="n">
        <x:v>1320</x:v>
      </x:c>
      <x:c r="K8" t="str">
        <x:v>Review - High Attainment</x:v>
      </x:c>
    </x:row>
    <x:row r="9">
      <x:c r="A9" t="str">
        <x:v>Priyanka September</x:v>
      </x:c>
      <x:c r="B9" t="str">
        <x:v>Priyanka Nair</x:v>
      </x:c>
      <x:c r="C9" t="str">
        <x:v>2026-09</x:v>
      </x:c>
      <x:c r="D9" s="74" t="n">
        <x:v>165000</x:v>
      </x:c>
      <x:c r="E9" s="74" t="n">
        <x:v>310200</x:v>
      </x:c>
      <x:c r="F9" s="68" t="n">
        <x:v>1.88</x:v>
      </x:c>
      <x:c r="G9" t="n">
        <x:v>2</x:v>
      </x:c>
      <x:c r="H9" s="74" t="n">
        <x:v>33000</x:v>
      </x:c>
      <x:c r="I9" s="68" t="n">
        <x:v>0.02</x:v>
      </x:c>
      <x:c r="J9" s="74" t="n">
        <x:v>660</x:v>
      </x:c>
      <x:c r="K9" t="str">
        <x:v>Review - High Attainment</x:v>
      </x:c>
    </x:row>
    <x:row r="10">
      <x:c r="A10" t="str">
        <x:v>Priyanka September</x:v>
      </x:c>
      <x:c r="B10" t="str">
        <x:v>Priyanka Nair</x:v>
      </x:c>
      <x:c r="C10" t="str">
        <x:v>2026-09</x:v>
      </x:c>
      <x:c r="D10" s="74" t="n">
        <x:v>165000</x:v>
      </x:c>
      <x:c r="E10" s="74" t="n">
        <x:v>310200</x:v>
      </x:c>
      <x:c r="F10" s="68" t="n">
        <x:v>1.88</x:v>
      </x:c>
      <x:c r="G10" t="n">
        <x:v>3</x:v>
      </x:c>
      <x:c r="H10" s="74" t="n">
        <x:v>16500.00000000003</x:v>
      </x:c>
      <x:c r="I10" s="68" t="n">
        <x:v>0.035</x:v>
      </x:c>
      <x:c r="J10" s="74" t="n">
        <x:v>577.500000000001</x:v>
      </x:c>
      <x:c r="K10" t="str">
        <x:v>Review - High Attainment</x:v>
      </x:c>
    </x:row>
    <x:row r="11">
      <x:c r="A11" t="str">
        <x:v>Priyanka September</x:v>
      </x:c>
      <x:c r="B11" t="str">
        <x:v>Priyanka Nair</x:v>
      </x:c>
      <x:c r="C11" t="str">
        <x:v>2026-09</x:v>
      </x:c>
      <x:c r="D11" s="74" t="n">
        <x:v>165000</x:v>
      </x:c>
      <x:c r="E11" s="74" t="n">
        <x:v>310200</x:v>
      </x:c>
      <x:c r="F11" s="68" t="n">
        <x:v>1.88</x:v>
      </x:c>
      <x:c r="G11" t="n">
        <x:v>4</x:v>
      </x:c>
      <x:c r="H11" s="74" t="n">
        <x:v>128699.99999999997</x:v>
      </x:c>
      <x:c r="I11" s="68" t="n">
        <x:v>0.05</x:v>
      </x:c>
      <x:c r="J11" s="74" t="n">
        <x:v>6434.999999999999</x:v>
      </x:c>
      <x:c r="K11" t="str">
        <x:v>Review - High Attainment</x:v>
      </x:c>
    </x:row>
    <x:row r="14">
      <x:c r="A14" s="13" t="str">
        <x:v>Employee / Period</x:v>
      </x:c>
      <x:c r="B14" s="13" t="str">
        <x:v>Quota</x:v>
      </x:c>
      <x:c r="C14" s="13" t="str">
        <x:v>Eligible Sales</x:v>
      </x:c>
      <x:c r="D14" s="13" t="str">
        <x:v>Base Commission</x:v>
      </x:c>
      <x:c r="E14" s="13" t="str">
        <x:v>Accelerator Commission</x:v>
      </x:c>
      <x:c r="F14" s="13" t="str">
        <x:v>Total Working Commission</x:v>
      </x:c>
    </x:row>
    <x:row r="15">
      <x:c r="A15" t="str">
        <x:v>Maya Chen — Aug 2026</x:v>
      </x:c>
      <x:c r="B15" s="74" t="n">
        <x:v>85400</x:v>
      </x:c>
      <x:c r="C15" s="74" t="n">
        <x:v>100772</x:v>
      </x:c>
      <x:c r="D15" s="74" t="n">
        <x:v>1024.8</x:v>
      </x:c>
      <x:c r="E15" s="74" t="n">
        <x:v>640.5</x:v>
      </x:c>
      <x:c r="F15" s="74" t="n">
        <x:v>1665.3</x:v>
      </x:c>
    </x:row>
    <x:row r="16">
      <x:c r="A16" t="str">
        <x:v>Priyanka Nair — Sep 2026</x:v>
      </x:c>
      <x:c r="B16" s="74" t="n">
        <x:v>165000</x:v>
      </x:c>
      <x:c r="C16" s="74" t="n">
        <x:v>310200</x:v>
      </x:c>
      <x:c r="D16" s="74" t="n">
        <x:v>1980</x:v>
      </x:c>
      <x:c r="E16" s="74" t="n">
        <x:v>7012.5</x:v>
      </x:c>
      <x:c r="F16" s="74" t="n">
        <x:v>8992.5</x:v>
      </x:c>
    </x:row>
    <x:row r="19">
      <x:c r="A19" s="19" t="str">
        <x:v>Traceability chain: Employee / hierarchy → approved quota → eligible credited transactions → monthly performance → tier-level commission → incentive awards → exception controls → approval → payroll reconciliation. The model should be able to answer “Why did Employee X receive exactly $Y?” without relying on hidden assumptions.</x:v>
      </x:c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</x:sheetData>
  <x:mergeCells>
    <x:mergeCell ref="A1:K1"/>
    <x:mergeCell ref="A19:K22"/>
  </x:mergeCells>
  <x:conditionalFormatting sqref="K4:K11">
    <x:cfRule type="expression" dxfId="8" priority="1">
      <x:formula>LEFT(K4,6)="Review"</x:formula>
    </x:cfRule>
    <x:cfRule type="expression" dxfId="9" priority="2">
      <x:formula>K4="Ready for Commission Calculation"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9" hidden="0" customWidth="1"/>
    <x:col min="3" max="3" width="26" hidden="0" customWidth="1"/>
    <x:col min="4" max="4" width="16" hidden="0" customWidth="1"/>
    <x:col min="5" max="5" width="26" hidden="0" customWidth="1"/>
    <x:col min="6" max="6" width="16" hidden="0" customWidth="1"/>
    <x:col min="7" max="7" width="54" hidden="0" customWidth="1"/>
    <x:col min="8" max="8" width="58" hidden="0" customWidth="1"/>
    <x:col min="9" max="9" width="30" hidden="0" customWidth="1"/>
    <x:col min="10" max="10" width="52" hidden="0" customWidth="1"/>
    <x:col min="11" max="11" width="12" hidden="0" customWidth="1"/>
  </x:cols>
  <x:sheetData>
    <x:row r="1">
      <x:c r="A1" s="89" t="str">
        <x:v>Phase 15 — Management Business Insights</x:v>
      </x:c>
    </x:row>
    <x:row r="2">
      <x:c r="A2" s="93" t="str">
        <x:v>Executive conclusion: the simulated plan is operationally auditable and economically coherent, but the 5% gross quota buffer is fully consumed by lifecycle effects. Actual credited sales still exceed the Finance plan, meaning modeled overperformance closes a capacity gap. Management should protect against relying on that pattern by restoring effective quota coverage, forecasting compensation with the nonlinear payout curve, and continuing exception/root-cause controls.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</x:row>
    <x:row r="3">
      <x:c r="A3" s="93"/>
      <x:c r="B3" s="93"/>
      <x:c r="C3" s="93"/>
      <x:c r="D3" s="93"/>
      <x:c r="E3" s="93"/>
      <x:c r="F3" s="93"/>
      <x:c r="G3" s="93"/>
      <x:c r="H3" s="93"/>
      <x:c r="I3" s="93"/>
      <x:c r="J3" s="93"/>
      <x:c r="K3" s="93"/>
    </x:row>
    <x:row r="5">
      <x:c r="A5" s="97" t="str">
        <x:v>Eligible Sales vs Finance Plan</x:v>
      </x:c>
      <x:c r="B5" s="97" t="str">
        <x:v>Effective Quota Coverage</x:v>
      </x:c>
      <x:c r="C5" s="97" t="str">
        <x:v>Weighted Attainment</x:v>
      </x:c>
      <x:c r="D5" s="97" t="str">
        <x:v>Working Core Commission</x:v>
      </x:c>
      <x:c r="E5" s="97" t="str">
        <x:v>Blocked / Pending Amount</x:v>
      </x:c>
      <x:c r="F5" s="97" t="str">
        <x:v>Accelerator Premium</x:v>
      </x:c>
      <x:c r="G5" s="97" t="str">
        <x:v>Q3 SPIFF Cost</x:v>
      </x:c>
      <x:c r="H5" s="97" t="str">
        <x:v>SPIFF / TSVC Sales</x:v>
      </x:c>
      <x:c r="I5" s="97" t="str">
        <x:v>Critical Exceptions</x:v>
      </x:c>
      <x:c r="J5" s="97" t="str">
        <x:v>Review Exceptions</x:v>
      </x:c>
      <x:c r="K5" s="97" t="str">
        <x:v>Payroll Recon Difference</x:v>
      </x:c>
    </x:row>
    <x:row r="6">
      <x:c r="A6" s="68" t="n">
        <x:f>SUM('05_Perf_Comm'!$G$2:$G$577)/60000000</x:f>
        <x:v>1.0132199119999994</x:v>
      </x:c>
      <x:c r="B6" s="68" t="n">
        <x:f>SUM('05_Perf_Comm'!$E$2:$E$577)/60000000</x:f>
        <x:v>0.9732295940860216</x:v>
      </x:c>
      <x:c r="C6" s="68" t="n">
        <x:f>SUMIF('05_Perf_Comm'!$E$2:$E$577,"&gt;0",'05_Perf_Comm'!$G$2:$G$577)/SUM('05_Perf_Comm'!$E$2:$E$577)</x:f>
        <x:v>1.0401762650028794</x:v>
      </x:c>
      <x:c r="D6" s="66" t="n">
        <x:f>SUM('05_Perf_Comm'!$P$2:$P$577)</x:f>
        <x:v>865265.1999645169</x:v>
      </x:c>
      <x:c r="E6" s="66" t="n">
        <x:f>'07_Controls'!$B$9</x:f>
        <x:v>19439.267514516017</x:v>
      </x:c>
      <x:c r="F6" s="66" t="n">
        <x:f>'09_Effectiveness'!$B$10</x:f>
        <x:v>114841.86013548385</x:v>
      </x:c>
      <x:c r="G6" s="66" t="n">
        <x:f>SUM('06_SPIFF'!$N$2:$N$49)</x:f>
        <x:v>18500</x:v>
      </x:c>
      <x:c r="H6" s="76" t="n">
        <x:f>'09_Effectiveness'!$B$11</x:f>
        <x:v>0.010853337246323189</x:v>
      </x:c>
      <x:c r="I6" s="98" t="n">
        <x:f>'07_Controls'!$B$5</x:f>
        <x:v>10</x:v>
      </x:c>
      <x:c r="J6" s="98" t="n">
        <x:f>'07_Controls'!$B$6</x:f>
        <x:v>3</x:v>
      </x:c>
      <x:c r="K6" s="66" t="n">
        <x:f>'07_Controls'!$B$11</x:f>
        <x:v>0</x:v>
      </x:c>
    </x:row>
    <x:row r="9">
      <x:c r="A9" s="100" t="str">
        <x:v>#</x:v>
      </x:c>
      <x:c r="B9" s="100" t="str">
        <x:v>Management Finding</x:v>
      </x:c>
      <x:c r="C9" s="100" t="str">
        <x:v>Evidence Metric 1</x:v>
      </x:c>
      <x:c r="D9" s="100" t="str">
        <x:v>Value 1</x:v>
      </x:c>
      <x:c r="E9" s="100" t="str">
        <x:v>Evidence Metric 2</x:v>
      </x:c>
      <x:c r="F9" s="100" t="str">
        <x:v>Value 2</x:v>
      </x:c>
      <x:c r="G9" s="100" t="str">
        <x:v>Why It Matters</x:v>
      </x:c>
      <x:c r="H9" s="100" t="str">
        <x:v>Recommended Management Action</x:v>
      </x:c>
      <x:c r="I9" s="100" t="str">
        <x:v>Primary Stakeholder</x:v>
      </x:c>
      <x:c r="J9" s="100" t="str">
        <x:v>Confidence / Limitation</x:v>
      </x:c>
      <x:c r="K9" s="100" t="str">
        <x:v>Priority</x:v>
      </x:c>
      <x:c r="M9" s="95" t="str">
        <x:v>Coverage Layer</x:v>
      </x:c>
      <x:c r="N9" s="95" t="str">
        <x:v>Coverage</x:v>
      </x:c>
      <x:c r="O9" s="95" t="str">
        <x:v>Scenario</x:v>
      </x:c>
      <x:c r="P9" s="95" t="str">
        <x:v>Commission Change</x:v>
      </x:c>
    </x:row>
    <x:row r="10">
      <x:c r="A10" t="n">
        <x:v>1</x:v>
      </x:c>
      <x:c r="B10" s="48" t="str">
        <x:v>The 5% gross quota buffer was fully consumed before performance was measured.</x:v>
      </x:c>
      <x:c r="C10" s="48" t="str">
        <x:v>Gross coverage</x:v>
      </x:c>
      <x:c r="D10" s="101" t="n">
        <x:f>'03_Quota_Coverage'!$O$6</x:f>
        <x:v>1.05</x:v>
      </x:c>
      <x:c r="E10" s="48" t="str">
        <x:v>Effective coverage</x:v>
      </x:c>
      <x:c r="F10" s="101" t="n">
        <x:f>'03_Quota_Coverage'!$O$9</x:f>
        <x:v>0.9732295940860216</x:v>
      </x:c>
      <x:c r="G10" s="48" t="str">
        <x:v>The approved $63M quota book looked comfortably above the $60M Finance plan, but effective dating, ramping and active-day proration reduced operational quota to about $58.4M.</x:v>
      </x:c>
      <x:c r="H10" s="48" t="str">
        <x:v>Track effective coverage monthly and restore quota capacity where lifecycle gaps persist rather than relying only on the annual gross quota book.</x:v>
      </x:c>
      <x:c r="I10" s="48" t="str">
        <x:v>Sales Leadership / Sales Ops / Finance</x:v>
      </x:c>
      <x:c r="J10" s="48" t="str">
        <x:v>Coverage measures capacity, not actual sales performance.</x:v>
      </x:c>
      <x:c r="K10" s="48" t="str">
        <x:v>High</x:v>
      </x:c>
      <x:c r="M10" t="str">
        <x:v>Gross</x:v>
      </x:c>
      <x:c r="N10" s="68" t="n">
        <x:f>'03_Quota_Coverage'!$O$6</x:f>
        <x:v>1.05</x:v>
      </x:c>
      <x:c r="O10" t="str">
        <x:v>100%</x:v>
      </x:c>
      <x:c r="P10" s="68" t="n">
        <x:v>0</x:v>
      </x:c>
    </x:row>
    <x:row r="11">
      <x:c r="A11" t="n">
        <x:v>2</x:v>
      </x:c>
      <x:c r="B11" s="48" t="str">
        <x:v>Actual performance offset the operational quota-capacity gap.</x:v>
      </x:c>
      <x:c r="C11" s="48" t="str">
        <x:v>Eligible sales / Finance plan</x:v>
      </x:c>
      <x:c r="D11" s="101" t="n">
        <x:f>SUM('05_Perf_Comm'!$G$2:$G$577)/60000000</x:f>
        <x:v>1.0132199119999994</x:v>
      </x:c>
      <x:c r="E11" s="48" t="str">
        <x:v>Weighted attainment</x:v>
      </x:c>
      <x:c r="F11" s="101" t="n">
        <x:f>SUMIF('05_Perf_Comm'!$E$2:$E$577,"&gt;0",'05_Perf_Comm'!$G$2:$G$577)/SUM('05_Perf_Comm'!$E$2:$E$577)</x:f>
        <x:v>1.0401762650028794</x:v>
      </x:c>
      <x:c r="G11" s="48" t="str">
        <x:v>Credited sales slightly exceeded the Finance plan even though effective quota coverage was below 100%. The modeled business therefore depended on above-quota productivity to close a structural capacity gap.</x:v>
      </x:c>
      <x:c r="H11" s="48" t="str">
        <x:v>Treat the result as strong performance but test whether overachievement is concentrated in a small number of reps/regions and rebuild sustainable quota capacity.</x:v>
      </x:c>
      <x:c r="I11" s="48" t="str">
        <x:v>Sales Leadership / Finance</x:v>
      </x:c>
      <x:c r="J11" s="48" t="str">
        <x:v>Synthetic performance may be intentionally stronger than a real operating year; do not extrapolate persistence.</x:v>
      </x:c>
      <x:c r="K11" s="48" t="str">
        <x:v>High</x:v>
      </x:c>
      <x:c r="M11" t="str">
        <x:v>Nominal In Force</x:v>
      </x:c>
      <x:c r="N11" s="68" t="n">
        <x:f>'03_Quota_Coverage'!$O$7/60000000</x:f>
        <x:v>0.9820416666666667</x:v>
      </x:c>
      <x:c r="O11" t="str">
        <x:v>110%</x:v>
      </x:c>
      <x:c r="P11" s="68" t="n">
        <x:f>'08_Forecast'!$P$6</x:f>
        <x:v>0.29166666666666696</x:v>
      </x:c>
    </x:row>
    <x:row r="12">
      <x:c r="A12" t="n">
        <x:v>3</x:v>
      </x:c>
      <x:c r="B12" s="48" t="str">
        <x:v>Quota-capacity risk is uneven by region.</x:v>
      </x:c>
      <x:c r="C12" s="48" t="str">
        <x:v>Atlantic effective coverage</x:v>
      </x:c>
      <x:c r="D12" s="101" t="n">
        <x:f>'03_Quota_Coverage'!$S$17</x:f>
        <x:v>0.9091383420703457</x:v>
      </x:c>
      <x:c r="E12" s="48" t="str">
        <x:v>Quebec effective coverage</x:v>
      </x:c>
      <x:c r="F12" s="101" t="n">
        <x:f>'03_Quota_Coverage'!$S$15</x:f>
        <x:v>1.0205106382978724</x:v>
      </x:c>
      <x:c r="G12" s="48" t="str">
        <x:v>A company-level 97.3% coverage ratio hides meaningful regional variation. Atlantic has materially less effective quota capacity, while Quebec retains coverage above plan.</x:v>
      </x:c>
      <x:c r="H12" s="48" t="str">
        <x:v>Review hiring, vacancy, termination and quota-effective-date drivers in low-coverage regions before reallocating targets or declaring a sales-execution issue.</x:v>
      </x:c>
      <x:c r="I12" s="48" t="str">
        <x:v>Sales Leadership / Sales Ops</x:v>
      </x:c>
      <x:c r="J12" s="48" t="str">
        <x:v>Coverage is based on implied regional Finance plan allocation from the 105% quota design.</x:v>
      </x:c>
      <x:c r="K12" s="48" t="str">
        <x:v>High</x:v>
      </x:c>
      <x:c r="M12" t="str">
        <x:v>Effective</x:v>
      </x:c>
      <x:c r="N12" s="68" t="n">
        <x:f>'03_Quota_Coverage'!$O$9</x:f>
        <x:v>0.9732295940860216</x:v>
      </x:c>
      <x:c r="O12" t="str">
        <x:v>120%</x:v>
      </x:c>
      <x:c r="P12" s="68" t="n">
        <x:f>'08_Forecast'!$P$7</x:f>
        <x:v>0.7083333333333335</x:v>
      </x:c>
    </x:row>
    <x:row r="13">
      <x:c r="A13" t="n">
        <x:v>4</x:v>
      </x:c>
      <x:c r="B13" s="48" t="str">
        <x:v>Commission expense becomes nonlinear above quota.</x:v>
      </x:c>
      <x:c r="C13" s="48" t="str">
        <x:v>110% commission increase vs 100%</x:v>
      </x:c>
      <x:c r="D13" s="101" t="n">
        <x:f>'08_Forecast'!$P$6</x:f>
        <x:v>0.29166666666666696</x:v>
      </x:c>
      <x:c r="E13" s="48" t="str">
        <x:v>120% commission increase vs 100%</x:v>
      </x:c>
      <x:c r="F13" s="101" t="n">
        <x:f>'08_Forecast'!$P$7</x:f>
        <x:v>0.7083333333333335</x:v>
      </x:c>
      <x:c r="G13" s="48" t="str">
        <x:v>A 10% increase in scenario sales raises commission expense by roughly 29%, while a 20% sales increase raises commission by roughly 71% because accelerator bands activate.</x:v>
      </x:c>
      <x:c r="H13" s="48" t="str">
        <x:v>Forecast compensation using the payout curve and attainment distribution; avoid applying one flat historical commission rate to all sales scenarios.</x:v>
      </x:c>
      <x:c r="I13" s="48" t="str">
        <x:v>Finance / FP&amp;A / Sales Compensation</x:v>
      </x:c>
      <x:c r="J13" s="48" t="str">
        <x:v>Uniform scenarios isolate payout-curve economics; actual expense also depends on performance distribution.</x:v>
      </x:c>
      <x:c r="K13" s="48" t="str">
        <x:v>High</x:v>
      </x:c>
    </x:row>
    <x:row r="14">
      <x:c r="A14" t="n">
        <x:v>5</x:v>
      </x:c>
      <x:c r="B14" s="48" t="str">
        <x:v>Accelerators are economically meaningful but separately measurable.</x:v>
      </x:c>
      <x:c r="C14" s="48" t="str">
        <x:v>Incremental accelerator premium</x:v>
      </x:c>
      <x:c r="D14" s="102" t="n">
        <x:f>'09_Effectiveness'!$B$10</x:f>
        <x:v>114841.86013548385</x:v>
      </x:c>
      <x:c r="E14" s="48" t="str">
        <x:v>Premium / core commission</x:v>
      </x:c>
      <x:c r="F14" s="101" t="n">
        <x:f>'09_Effectiveness'!$B$10/SUM('05_Perf_Comm'!$P$2:$P$577)</x:f>
        <x:v>0.13272446429163373</x:v>
      </x:c>
      <x:c r="G14" s="48" t="str">
        <x:v>The plan spends about $115K more than a no-accelerator design. That is a meaningful cost of overperformance and should be reviewed against incremental margin and strategic value.</x:v>
      </x:c>
      <x:c r="H14" s="48" t="str">
        <x:v>Include accelerator premium as a separate budget/forecast line and evaluate it with margin data, not revenue alone.</x:v>
      </x:c>
      <x:c r="I14" s="48" t="str">
        <x:v>Finance / Sales Compensation / Sales Leadership</x:v>
      </x:c>
      <x:c r="J14" s="48" t="str">
        <x:v>Synthetic model has no gross-margin or causal counterfactual data.</x:v>
      </x:c>
      <x:c r="K14" s="48" t="str">
        <x:v>Medium</x:v>
      </x:c>
    </x:row>
    <x:row r="15">
      <x:c r="A15" t="n">
        <x:v>6</x:v>
      </x:c>
      <x:c r="B15" s="48" t="str">
        <x:v>The Q3 Technology Services SPIFF has bounded cost and differentiated participation.</x:v>
      </x:c>
      <x:c r="C15" s="48" t="str">
        <x:v>SPIFF cost / TSVC sales</x:v>
      </x:c>
      <x:c r="D15" s="101" t="n">
        <x:f>'09_Effectiveness'!$B$11</x:f>
        <x:v>0.010853337246323189</x:v>
      </x:c>
      <x:c r="E15" s="48" t="str">
        <x:v>SPIFF award rate</x:v>
      </x:c>
      <x:c r="F15" s="106" t="n">
        <x:f>COUNTIF('06_SPIFF'!$N$2:$N$49,"&gt;0")/(48-COUNTIF('06_SPIFF'!$M$2:$M$49,"Not Eligible"))</x:f>
        <x:v>0.5434782608695652</x:v>
      </x:c>
      <x:c r="G15" s="48" t="str">
        <x:v>The temporary incentive costs roughly 1.1% of targeted-category sales and does not pay everyone automatically, which keeps the program financially visible and bounded.</x:v>
      </x:c>
      <x:c r="H15" s="48" t="str">
        <x:v>Before renewing the SPIFF, add product-margin data and compare participating/non-participating or pre/post periods using a stronger evaluation design.</x:v>
      </x:c>
      <x:c r="I15" s="48" t="str">
        <x:v>Sales Leadership / Finance</x:v>
      </x:c>
      <x:c r="J15" s="48" t="str">
        <x:v>Observed TSVC sales cannot be attributed causally to the SPIFF.</x:v>
      </x:c>
      <x:c r="K15" s="48" t="str">
        <x:v>Medium</x:v>
      </x:c>
    </x:row>
    <x:row r="16">
      <x:c r="A16" t="n">
        <x:v>7</x:v>
      </x:c>
      <x:c r="B16" s="48" t="str">
        <x:v>The compensation control process is financially material, not just administrative.</x:v>
      </x:c>
      <x:c r="C16" s="48" t="str">
        <x:v>Blocked / pending amount</x:v>
      </x:c>
      <x:c r="D16" s="102" t="n">
        <x:f>'07_Controls'!$B$9</x:f>
        <x:v>19439.267514516017</x:v>
      </x:c>
      <x:c r="E16" s="48" t="str">
        <x:v>Approval rate</x:v>
      </x:c>
      <x:c r="F16" s="101" t="n">
        <x:f>'07_Controls'!$B$10</x:f>
        <x:v>0.9780040360094543</x:v>
      </x:c>
      <x:c r="G16" s="48" t="str">
        <x:v>About $19.4K of modeled variable compensation remains blocked or under review. The control layer prevents mathematically valid but administratively invalid amounts from reaching payroll.</x:v>
      </x:c>
      <x:c r="H16" s="48" t="str">
        <x:v>Track exception aging and recurring root causes—especially quota/plan effective dating and source-data controls—to reduce manual investigation and payout delays.</x:v>
      </x:c>
      <x:c r="I16" s="48" t="str">
        <x:v>Sales Compensation / Payroll / Sales Ops</x:v>
      </x:c>
      <x:c r="J16" s="48" t="str">
        <x:v>Approval statuses are simulated human-review outcomes.</x:v>
      </x:c>
      <x:c r="K16" s="48" t="str">
        <x:v>High</x:v>
      </x:c>
    </x:row>
    <x:row r="17">
      <x:c r="A17" t="n">
        <x:v>8</x:v>
      </x:c>
      <x:c r="B17" s="48" t="str">
        <x:v>The plan shows strong pay-for-performance differentiation.</x:v>
      </x:c>
      <x:c r="C17" s="48" t="str">
        <x:v>Attainment-to-rate correlation</x:v>
      </x:c>
      <x:c r="D17" s="101" t="n">
        <x:f>'09_Effectiveness'!$B$6</x:f>
        <x:v>0.962404456402966</x:v>
      </x:c>
      <x:c r="E17" s="48" t="str">
        <x:v>Top 20% payout share</x:v>
      </x:c>
      <x:c r="F17" s="101" t="n">
        <x:f>'09_Effectiveness'!$B$8</x:f>
        <x:v>0.35125053638175174</x:v>
      </x:c>
      <x:c r="G17" s="48" t="str">
        <x:v>Higher attainment produces systematically richer commission rates, and payout becomes concentrated among top earners under the marginal accelerator curve.</x:v>
      </x:c>
      <x:c r="H17" s="48" t="str">
        <x:v>Preserve the differentiating mechanics, but pair payout-concentration monitoring with quota/territory fairness reviews so high earnings are not driven by structural advantage.</x:v>
      </x:c>
      <x:c r="I17" s="48" t="str">
        <x:v>Sales Leadership / Total Rewards / Sales Compensation</x:v>
      </x:c>
      <x:c r="J17" s="48" t="str">
        <x:v>Correlation is descriptive; territory difficulty and quota quality are outside the current dataset.</x:v>
      </x:c>
      <x:c r="K17" s="48" t="str">
        <x:v>Medium</x:v>
      </x:c>
    </x:row>
  </x:sheetData>
  <x:mergeCells>
    <x:mergeCell ref="A1:K1"/>
    <x:mergeCell ref="A2:K3"/>
  </x:mergeCells>
  <x:conditionalFormatting sqref="K10:K17">
    <x:cfRule type="expression" dxfId="10" priority="1">
      <x:formula>K10="High"</x:formula>
    </x:cfRule>
    <x:cfRule type="expression" dxfId="11" priority="2">
      <x:formula>K10="Medium"</x:formula>
    </x:cfRule>
  </x:conditionalFormatting>
  <x:pageMargins left="0.7" right="0.7" top="0.75" bottom="0.75" header="0.3" footer="0.3"/>
  <x:drawing xmlns:r="http://schemas.openxmlformats.org/officeDocument/2006/relationships" r:id="Rf001296cc7b1485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9" hidden="0" customWidth="1"/>
    <x:col min="3" max="3" width="42" hidden="0" customWidth="1"/>
    <x:col min="4" max="4" width="46" hidden="0" customWidth="1"/>
    <x:col min="5" max="5" width="32" hidden="0" customWidth="1"/>
    <x:col min="6" max="6" width="23" hidden="0" customWidth="1"/>
    <x:col min="7" max="7" width="42" hidden="0" customWidth="1"/>
    <x:col min="8" max="8" width="43" hidden="0" customWidth="1"/>
    <x:col min="9" max="9" width="48" hidden="0" customWidth="1"/>
  </x:cols>
  <x:sheetData>
    <x:row r="1">
      <x:c r="A1" s="89" t="str">
        <x:v>Management Action Plan — From Insight to Decision</x:v>
      </x:c>
    </x:row>
    <x:row r="2">
      <x:c r="A2" s="92" t="str">
        <x:v>These are management questions/actions suggested by the simulated evidence—not claims about Staples Canada. In a real organization, actions would be validated with Finance, Sales Leadership, Sales Ops, Payroll/HR, margin data, and plan-governance owners.</x:v>
      </x:c>
      <x:c r="B2" s="92"/>
      <x:c r="C2" s="92"/>
      <x:c r="D2" s="92"/>
      <x:c r="E2" s="92"/>
      <x:c r="F2" s="92"/>
      <x:c r="G2" s="92"/>
      <x:c r="H2" s="92"/>
      <x:c r="I2" s="92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</x:row>
    <x:row r="5">
      <x:c r="A5" s="100" t="str">
        <x:v>Priority</x:v>
      </x:c>
      <x:c r="B5" s="100" t="str">
        <x:v>Action</x:v>
      </x:c>
      <x:c r="C5" s="100" t="str">
        <x:v>Problem Addressed</x:v>
      </x:c>
      <x:c r="D5" s="100" t="str">
        <x:v>Evidence Trigger</x:v>
      </x:c>
      <x:c r="E5" s="100" t="str">
        <x:v>Suggested Owner</x:v>
      </x:c>
      <x:c r="F5" s="100" t="str">
        <x:v>Timing</x:v>
      </x:c>
      <x:c r="G5" s="100" t="str">
        <x:v>Success Measure</x:v>
      </x:c>
      <x:c r="H5" s="100" t="str">
        <x:v>Risk if Ignored</x:v>
      </x:c>
      <x:c r="I5" s="100" t="str">
        <x:v>Portfolio Rationale</x:v>
      </x:c>
    </x:row>
    <x:row r="6">
      <x:c r="A6" t="str">
        <x:v>P1</x:v>
      </x:c>
      <x:c r="B6" s="48" t="str">
        <x:v>Restore and monitor effective quota coverage</x:v>
      </x:c>
      <x:c r="C6" s="48" t="str">
        <x:v>Gross 105% coverage falls to 97.3% effective coverage.</x:v>
      </x:c>
      <x:c r="D6" s="48" t="str">
        <x:v>Atlantic ≈90.9%; overall ≈97.3%</x:v>
      </x:c>
      <x:c r="E6" s="48" t="str">
        <x:v>Sales Leadership + Sales Ops + Finance</x:v>
      </x:c>
      <x:c r="F6" s="48" t="str">
        <x:v>Monthly / next quota cycle</x:v>
      </x:c>
      <x:c r="G6" s="48" t="str">
        <x:v>Effective coverage sustained ≥100% or gap has documented staffing plan</x:v>
      </x:c>
      <x:c r="H6" s="48" t="str">
        <x:v>Overreliance on a smaller active population to deliver Finance plan</x:v>
      </x:c>
      <x:c r="I6" s="48" t="str">
        <x:v>Shows quota rollup is an operating-control metric, not just quota administration.</x:v>
      </x:c>
    </x:row>
    <x:row r="7">
      <x:c r="A7" t="str">
        <x:v>P1</x:v>
      </x:c>
      <x:c r="B7" s="48" t="str">
        <x:v>Adopt payout-curve / distribution-based commission forecasting</x:v>
      </x:c>
      <x:c r="C7" s="48" t="str">
        <x:v>Accelerators make expense nonlinear.</x:v>
      </x:c>
      <x:c r="D7" s="48" t="str">
        <x:v>110% scenario: +10% sales vs +29% commission; 120%: +20% vs +71%</x:v>
      </x:c>
      <x:c r="E7" s="48" t="str">
        <x:v>FP&amp;A + Sales Compensation</x:v>
      </x:c>
      <x:c r="F7" s="48" t="str">
        <x:v>Budget / monthly forecast</x:v>
      </x:c>
      <x:c r="G7" s="48" t="str">
        <x:v>Forecast variance to actual commission narrows</x:v>
      </x:c>
      <x:c r="H7" s="48" t="str">
        <x:v>Flat-rate forecasts understate upside expense</x:v>
      </x:c>
      <x:c r="I7" s="48" t="str">
        <x:v>Connects plan design directly to Finance forecasting.</x:v>
      </x:c>
    </x:row>
    <x:row r="8">
      <x:c r="A8" t="str">
        <x:v>P1</x:v>
      </x:c>
      <x:c r="B8" s="48" t="str">
        <x:v>Reduce recurring control exceptions and track exception aging</x:v>
      </x:c>
      <x:c r="C8" s="48" t="str">
        <x:v>Blocked compensation indicates process/data friction.</x:v>
      </x:c>
      <x:c r="D8" s="48" t="str">
        <x:v>13 detected exceptions; ~$19.4K blocked/pending</x:v>
      </x:c>
      <x:c r="E8" s="48" t="str">
        <x:v>Sales Compensation + Sales Ops + Payroll</x:v>
      </x:c>
      <x:c r="F8" s="48" t="str">
        <x:v>Every cycle</x:v>
      </x:c>
      <x:c r="G8" s="48" t="str">
        <x:v>Fewer repeat root causes; faster resolution; zero unreconciled payroll difference</x:v>
      </x:c>
      <x:c r="H8" s="48" t="str">
        <x:v>Delayed/inaccurate payout and rep disputes</x:v>
      </x:c>
      <x:c r="I8" s="48" t="str">
        <x:v>Demonstrates operational control ownership and auditability.</x:v>
      </x:c>
    </x:row>
    <x:row r="9">
      <x:c r="A9" t="str">
        <x:v>P2</x:v>
      </x:c>
      <x:c r="B9" s="48" t="str">
        <x:v>Review quota/territory fairness alongside payout concentration</x:v>
      </x:c>
      <x:c r="C9" s="48" t="str">
        <x:v>High pay differentiation is desirable only if quota difficulty is reasonably comparable.</x:v>
      </x:c>
      <x:c r="D9" s="48" t="str">
        <x:v>0.962 attainment-to-rate correlation; top 20% receive ~35.1% of payout</x:v>
      </x:c>
      <x:c r="E9" s="48" t="str">
        <x:v>Sales Leadership + Total Rewards + Sales Ops</x:v>
      </x:c>
      <x:c r="F9" s="48" t="str">
        <x:v>Quarterly / plan design cycle</x:v>
      </x:c>
      <x:c r="G9" s="48" t="str">
        <x:v>High payouts can be explained by validated performance rather than territory advantage</x:v>
      </x:c>
      <x:c r="H9" s="48" t="str">
        <x:v>Perceived inequity or unintended windfalls</x:v>
      </x:c>
      <x:c r="I9" s="48" t="str">
        <x:v>Separates pay-for-performance from quota-quality questions.</x:v>
      </x:c>
    </x:row>
    <x:row r="10">
      <x:c r="A10" t="str">
        <x:v>P2</x:v>
      </x:c>
      <x:c r="B10" s="48" t="str">
        <x:v>Evaluate accelerator premium against contribution margin</x:v>
      </x:c>
      <x:c r="C10" s="48" t="str">
        <x:v>Accelerators add meaningful incremental cost.</x:v>
      </x:c>
      <x:c r="D10" s="48" t="str">
        <x:v>~$114.8K incremental premium; ~13.3% of core commission</x:v>
      </x:c>
      <x:c r="E10" s="48" t="str">
        <x:v>Finance + Sales Compensation + Sales Leadership</x:v>
      </x:c>
      <x:c r="F10" s="48" t="str">
        <x:v>Annual plan review</x:v>
      </x:c>
      <x:c r="G10" s="48" t="str">
        <x:v>Premium supported by incremental margin/strategic value</x:v>
      </x:c>
      <x:c r="H10" s="48" t="str">
        <x:v>Paying richer rates for low-margin or nonincremental sales</x:v>
      </x:c>
      <x:c r="I10" s="48" t="str">
        <x:v>Moves effectiveness analysis from revenue to economics.</x:v>
      </x:c>
    </x:row>
    <x:row r="11">
      <x:c r="A11" t="str">
        <x:v>P2</x:v>
      </x:c>
      <x:c r="B11" s="48" t="str">
        <x:v>Run a stronger SPIFF post-mortem before renewal</x:v>
      </x:c>
      <x:c r="C11" s="48" t="str">
        <x:v>SPIFF is bounded but causality is unknown.</x:v>
      </x:c>
      <x:c r="D11" s="48" t="str">
        <x:v>$18.5K cost; ~1.09% of TSVC sales; ~54% award rate</x:v>
      </x:c>
      <x:c r="E11" s="48" t="str">
        <x:v>Sales Leadership + Finance</x:v>
      </x:c>
      <x:c r="F11" s="48" t="str">
        <x:v>After Q3 / before next SPIFF</x:v>
      </x:c>
      <x:c r="G11" s="48" t="str">
        <x:v>Margin-adjusted economics and stronger comparison design available</x:v>
      </x:c>
      <x:c r="H11" s="48" t="str">
        <x:v>Renewing incentives that merely pay for behavior that would occur anyway</x:v>
      </x:c>
      <x:c r="I11" s="48" t="str">
        <x:v>Demonstrates disciplined incentive-program evaluation.</x:v>
      </x:c>
    </x:row>
    <x:row r="12">
      <x:c r="A12" t="str">
        <x:v>P3</x:v>
      </x:c>
      <x:c r="B12" s="48" t="str">
        <x:v>Automate refresh and exception triage</x:v>
      </x:c>
      <x:c r="C12" s="48" t="str">
        <x:v>Manual recurring work creates operational risk.</x:v>
      </x:c>
      <x:c r="D12" s="48" t="str">
        <x:v>Multiple effective-dating, transaction and approval controls</x:v>
      </x:c>
      <x:c r="E12" s="48" t="str">
        <x:v>Sales Compensation / BI / Sales Ops</x:v>
      </x:c>
      <x:c r="F12" s="48" t="str">
        <x:v>Process-improvement backlog</x:v>
      </x:c>
      <x:c r="G12" s="48" t="str">
        <x:v>Reduced manual steps and repeat exceptions; reproducible refresh</x:v>
      </x:c>
      <x:c r="H12" s="48" t="str">
        <x:v>Spreadsheet dependency and slow cycle close</x:v>
      </x:c>
      <x:c r="I12" s="48" t="str">
        <x:v>Directly aligns to analyst role emphasis on Excel/automation/process improvement.</x:v>
      </x:c>
    </x:row>
  </x:sheetData>
  <x:mergeCells>
    <x:mergeCell ref="A1:I1"/>
    <x:mergeCell ref="A2:I3"/>
  </x:mergeCells>
  <x:conditionalFormatting sqref="A6:A12">
    <x:cfRule type="expression" dxfId="12" priority="1">
      <x:formula>A6="P1"</x:formula>
    </x:cfRule>
    <x:cfRule type="expression" dxfId="13" priority="2">
      <x:formula>A6="P2"</x:formula>
    </x:cfRule>
    <x:cfRule type="expression" dxfId="14" priority="3">
      <x:formula>A6="P3"</x:formula>
    </x:cfRule>
  </x:conditionalFormatting>
  <x:pageMargins left="0.7" right="0.7" top="0.75" bottom="0.75" header="0.3" footer="0.3"/>
</x:worksheet>
</file>